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78536e56418d7fc/VSProjects/Python/Jeep Log UCONNECT/"/>
    </mc:Choice>
  </mc:AlternateContent>
  <xr:revisionPtr revIDLastSave="0" documentId="8_{630FB211-D9B6-446C-9095-173638A278ED}" xr6:coauthVersionLast="47" xr6:coauthVersionMax="47" xr10:uidLastSave="{00000000-0000-0000-0000-000000000000}"/>
  <bookViews>
    <workbookView xWindow="-23148" yWindow="1320" windowWidth="23256" windowHeight="13896" xr2:uid="{B9778E1F-E5F6-4DAA-9339-D911909F943B}"/>
  </bookViews>
  <sheets>
    <sheet name="JSON" sheetId="1" r:id="rId1"/>
    <sheet name="Služby Jeep + Status" sheetId="2" r:id="rId2"/>
    <sheet name="Názvy služeb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</calcChain>
</file>

<file path=xl/sharedStrings.xml><?xml version="1.0" encoding="utf-8"?>
<sst xmlns="http://schemas.openxmlformats.org/spreadsheetml/2006/main" count="243" uniqueCount="201">
  <si>
    <t>2026-02-19 08:23:03.234 DEBUG (SyncWorker_3) [py_uconnect] list_vehicles: {"userid":"7f8edc00b9f6491e8963f106afda53f1","version":1770483439409,"vehicles":[{"color":"BLACK C\\/C","year":2021,"tsoBodyCode":"JL","navEnabledHU":false,"isCompanyCar":false,"radio":"","vin":"1C4JJXR66MW811502","company":"FCA","model":"688","tcuType":"2","make":"Jeep","brandCode":"57","soldRegion":"EMEA","svla":{"status":"INACTIVE","timestamp":0},"market":"CZ","modelDescription":"WRANGLER PHEV","fuelType":"H","tsoModelYear":"2021","sdp":"IGNITE","subMake":"Jeep","regStatus":"COMPLETED_STAGE_3","language":"","customerRegStatus":"Y","activationSource":"DEALER","nickname":"Wrangler Black","regTimestamp":1770483439409,"services":[{"vehicleCapable":true,"service":"RDL","serviceEnabled":false},{"vehicleCapable":true,"service":"RDU","serviceEnabled":false},{"vehicleCapable":true,"service":"ROSECUREDELIVERY","serviceEnabled":false},{"vehicleCapable":true,"service":"SQDF","serviceEnabled":true},{"vehicleCapable":false,"service":"VHSG","serviceEnabled":false},{"vehicleCapable":true,"service":"SDV","serviceEnabled":false},{"vehicleCapable":false,"service":"ASSIST","serviceEnabled":false},{"vehicleCapable":true,"service":"ROC","serviceEnabled":true},{"vehicleCapable":true,"service":"SOS","serviceEnabled":true},{"vehicleCapable":true,"service":"ASOS","serviceEnabled":true},{"vehicleCapable":true,"service":"VF","serviceEnabled":false},{"vehicleCapable":true,"service":"SVLA","serviceEnabled":false},{"vehicleCapable":false,"service":"ROCRANKINHIBITON","serviceEnabled":false},{"vehicleCapable":false,"service":"ROCRANKINHIBITOFF","serviceEnabled":false},{"vehicleCapable":false,"service":"ROLIGHTS","serviceEnabled":false},{"vehicleCapable":true,"service":"TA","serviceEnabled":false},{"vehicleCapable":true,"service":"VRC","serviceEnabled":true},{"vehicleCapable":true,"service":"DTC","serviceEnabled":false},{"vehicleCapable":true,"service":"HUC","serviceEnabled":true},{"vehicleCapable":true,"service":"AOTAC","serviceEnabled":true},{"vehicleCapable":true,"service":"UBI","serviceEnabled":true},{"vehicleCapable":true,"service":"WIFIHOTSPOT","serviceEnabled":true},{"vehicleCapable":false,"service":"IVA","serviceEnabled":false},{"vehicleCapable":false,"service":"IVAD","serviceEnabled":false},{"vehicleCapable":false,"service":"IVM","serviceEnabled":false},{"vehicleCapable":false,"service":"IVMD","serviceEnabled":false},{"vehicleCapable":false,"service":"SVCSUBMSSG","serviceEnabled":false},{"vehicleCapable":false,"service":"CONTIMAIN","serviceEnabled":false},{"vehicleCapable":true,"service":"FTD","serviceEnabled":true},{"vehicleCapable":true,"service":"IPCS","serviceEnabled":true},{"vehicleCapable":false,"service":"CALLMAN","serviceEnabled":false},{"vehicleCapable":true,"service":"PARENT","serviceEnabled":false},{"vehicleCapable":true,"service":"BCALL","serviceEnabled":true},{"vehicleCapable":false,"service":"ECALL","serviceEnabled":false},{"vehicleCapable":true,"service":"SVLAAPP","serviceEnabled":false},{"vehicleCapable":true,"service":"FOTA","serviceEnabled":false},{"vehicleCapable":true,"service":"NAV_OB_TRAFFIC","serviceEnabled":false},{"vehicleCapable":true,"service":"NAV_OB_WEATHER","serviceEnabled":false},{"vehicleCapable":true,"service":"NAV_OB_SPEED_CAMERA","serviceEnabled":false},{"vehicleCapable":true,"service":"NAV_OB_SEARCH","serviceEnabled":false},{"vehicleCapable":true,"service":"PHEV","serviceEnabled":false},{"vehicleCapable":false,"service":"NAV_OB_FUEL_FINDER","serviceEnabled":false},{"vehicleCapable":false,"service":"NAV_OB_PARKING_FINDER","serviceEnabled":false},{"vehicleCapable":true,"service":"VHS","serviceEnabled":false},{"vehicleCapable":true,"service":"CSL","serviceEnabled":false},{"vehicleCapable":false,"service":"EVNOT","serviceEnabled":false},{"vehicleCapable":true,"service":"CPPLUS","serviceEnabled":false},{"vehicleCapable":false,"service":"CNOW","serviceEnabled":false},{"vehicleCapable":true,"service":"DEEPREFRESH","serviceEnabled":false},{"vehicleCapable":false,"service":"CHRGSETTING","serviceEnabled":false},{"vehicleCapable":false,"service":"NAV_OB_ROUTE_DRM","serviceEnabled":false},{"vehicleCapable":false,"service":"SDV_DMN","serviceEnabled":false},{"vehicleCapable":false,"service":"NAVAUTH","serviceEnabled":false},{"vehicleCapable":false,"service":"ORP","serviceEnabled":false},{"vehicleCapable":false,"service":"COST9YP","serviceEnabled":false},{"vehicleCapable":false,"service":"COST9YT","serviceEnabled":false},{"vehicleCapable":false,"service":"COSTUGQ","serviceEnabled":false},{"vehicleCapable":false,"service":"COSTUGM","serviceEnabled":false},{"vehicleCapable":false,"service":"COSTUHN","serviceEnabled":false},{"vehicleCapable":false,"service":"COST07W","serviceEnabled":false},{"vehicleCapable":false,"service":"LASTMILE","serviceEnabled":false},{"vehicleCapable":true,"service":"DUMMY","serviceEnabled":true},{"vehicleCapable":false,"service":"NAV_OB_MOTA_WIFI","serviceEnabled":false},{"vehicleCapable":false,"service":"NAV_OB_MOTA_CELL","serviceEnabled":false},{"vehicleCapable":false,"service":"NAV_OB_MOTA_WIFI_CELL","serviceEnabled":false},{"vehicleCapable":false,"service":"ELECPAGES","serviceEnabled":false},{"vehicleCapable":false,"service":"WIFIP","serviceEnabled":false},{"vehicleCapable":false,"service":"ECOSERVICE","serviceEnabled":false},{"vehicleCapable":false,"service":"ALEXAVA","serviceEnabled":false},{"vehicleCapable":true,"service":"DASS","serviceEnabled":false},{"vehicleCapable":false,"service":"ECOCOACHINGR1","serviceEnabled":false},{"vehicleCapable":false,"service":"FLEET","serviceEnabled":false},{"vehicleCapable":false,"service":"MACMEDIAAPP","serviceEnabled":false},{"vehicleCapable":true,"service":"MYECHG","serviceEnabled":false},{"vehicleCapable":false,"service":"AOTACI","serviceEnabled":false},{"vehicleCapable":true,"service":"TA_SUP","serviceEnabled":false},{"vehicleCapable":false,"service":"SOSR1","serviceEnabled":false},{"vehicleCapable":false,"service":"ROPRECOND","serviceEnabled":false},{"vehicleCapable":false,"service":"EVROUT","serviceEnabled":false},{"vehicleCapable":false,"service":"CSL_NAV","serviceEnabled":false},{"vehicleCapable":false,"service":"MYCAR","serviceEnabled":false},{"vehicleCapable":false,"service":"G25CALL","serviceEnabled":false},{"vehicleCapable":false,"service":"ROC2","serviceEnabled":false},{"vehicleCapable":false,"service":"ADA_TBM","serviceEnabled":false},{"vehicleCapable":false,"service":"ECALLONLY","serviceEnabled":false},{"vehicleCapable":false,"service":"COST2PZ","serviceEnabled":false},{"vehicleCapable":false,"service":"TPPAGES","serviceEnabled":false},{"vehicleCapable":false,"service":"COSTUHL","serviceEnabled":false},{"vehicleCapable":false,"service":"COST1GK","serviceEnabled":false},{"vehicleCapable":false,"service":"CPA","serviceEnabled":false},{"vehicleCapable":false,"service":"TRIPREPORT","serviceEnabled":false},{"vehicleCapable":false,"service":"ADA_RADIOUSAGE","serviceEnabled":false},{"vehicleCapable":false,"service":"SVC_SCHEDULE","serviceEnabled":false},{"vehicleCapable":false,"service":"SVC_STATUS","serviceEnabled":false},{"vehicleCapable":false,"service":"ADA_FTD","serviceEnabled":false},{"vehicleCapable":false,"service":"ADA_HU","serviceEnabled":false},{"vehicleCapable":false,"service":"ADA_UBI","serviceEnabled":false},{"vehicleCapable":false,"service":"ADA_SQDF","serviceEnabled":false},{"vehicleCapable":false,"service":"ROTRUNKUNLOCK","serviceEnabled":false},{"vehicleCapable":true,"service":"ROCLRPERSDATA","serviceEnabled":true},{"vehicleCapable":false,"service":"RVS","serviceEnabled":false},{"vehicleCapable":false,"service":"ECOCOACHING20","serviceEnabled":false},{"vehicleCapable":false,"service":"FLEETENROLL","serviceEnabled":false},{"vehicleCapable":false,"service":"MOTA_MONTH","serviceEnabled":false},{"vehicleCapable":false,"service":"MOTA_TRIP","serviceEnabled":false},{"vehicleCapable":false,"service":"MOTA_CELL","serviceEnabled":false},{"vehicleCapable":false,"service":"MOTA_WIFI","serviceEnabled":false},{"vehicleCapable":false,"service":"TUTORIALS","serviceEnabled":false},{"vehicleCapable":false,"service":"ASOSBT","serviceEnabled":false},{"vehicleCapable":false,"service":"BRAND","serviceEnabled":false},{"vehicleCapable":false,"service":"BRANDBT","serviceEnabled":false},{"vehicleCapable":false,"service":"CARE","serviceEnabled":false},{"vehicleCapable":false,"service":"CAREBT","serviceEnabled":false},{"vehicleCapable":false,"service":"CCSEV","serviceEnabled":false},{"vehicleCapable":false,"service":"EVROUT1","serviceEnabled":false},{"vehicleCapable":true,"service":"NAV_OB_ROUTE_DRM15","serviceEnabled":false},{"vehicleCapable":false,"service":"ROAD","serviceEnabled":false},{"vehicleCapable":false,"service":"ROADBT","serviceEnabled":false},{"vehicleCapable":false,"service":"ROPRECOND_OFF","serviceEnabled":false},{"vehicleCapable":false,"service":"CPCHRG2","serviceEnabled":false},{"vehicleCapable":true,"service":"KIRIPHEV","serviceEnabled":false},{"vehicleCapable":false,"service":"ORPPLUS","serviceEnabled":false},{"vehicleCapable":false,"service":"PHEVON","serviceEnabled":false},{"vehicleCapable":false,"service":"CSEV","serviceEnabled":false},{"vehicleCapable":false,"service":"NFT","serviceEnabled":false},{"vehicleCapable":false,"service":"CPPLUSBEV","serviceEnabled":false},{"vehicleCapable":true,"service":"DUMMY2","serviceEnabled":false},{"vehicleCapable":true,"service":"SLI","serviceEnabled":true},{"vehicleCapable":false,"service":"NAV_OB_ROUTE_DRM20","serviceEnabled":false},{"vehicleCapable":true,"service":"DUMMY4","serviceEnabled":false},{"vehicleCapable":false,"service":"MYENT","serviceEnabled":false},{"vehicleCapable":false,"service":"INCARNAVADS","serviceEnabled":false},{"vehicleCapable":false,"service":"ADA_X250_DOORSSTS","serviceEnabled":false},{"vehicleCapable":false,"service":"ADA_X250_THERMCOND","serviceEnabled":false},{"vehicleCapable":false,"service":"ADA_X250_REMLEV","serviceEnabled":false},{"vehicleCapable":false,"service":"ADA_X250_PRIVACY","serviceEnabled":false},{"vehicleCapable":false,"service":"ADA_X250_GENSTS","serviceEnabled":false},{"vehicleCapable":false,"service":"ADA_X250_CRASHSTS","serviceEnabled":false},{"vehicleCapable":false,"service":"ADA_X250_MAINTSTS","serviceEnabled":false},{"vehicleCapable":false,"service":"ADA_X250_LOCATION","serviceEnabled":false},{"vehicleCapable":false,"service":"ADA_X250_QUALITY_ICE","serviceEnabled":false},{"vehicleCapable":false,"service":"ADA_X250_QUALITY_BEV","serviceEnabled":false},{"vehicleCapable":false,"service":"ADA_X250_USAGESTS","serviceEnabled":false},{"vehicleCapable":false,"service":"ADA_X250_ALTMEDIUM","serviceEnabled":false},{"vehicleCapable":false,"service":"ADA_X250_JDA","serviceEnabled":false},{"vehicleCapable":false,"service":"ADA_X250_ADAS","serviceEnabled":false},{"vehicleCapable":false,"service":"ADA_X250_OBFCM","serviceEnabled":false},{"vehicleCapable":false,"service":"DUMMY319APP","serviceEnabled":false},{"vehicleCapable":false,"service":"ADA_PLUS","serviceEnabled":false},{"vehicleCapable":false,"service":"IVWW","serviceEnabled":false},{"vehicleCapable":false,"service":"DUMMY3","serviceEnabled":false}],"enrollmentStatus":"COMPLETE","channelFeatures":[],"privacyMode":"INACTIVE","tc":{"activation":{"status":"Accepted","version":"us1.0.1"},"registration":{"status":"Accepted","version":"1.0.1"}},"cslProvider":"F2M"}]}</t>
  </si>
  <si>
    <t>2026-02-19 08:23:03.399 DEBUG (SyncWorker_3) [py_uconnect] get_vehicle (1C4JJXR66MW811502): {"vehicleInfo":{"totalRangeADA":null,"distanceUnit":"km","odometer":{"odometer":{"value":"34919","unit":"km"}},"daysToService":"null","hvbatSOH":null,"fuel":{"fuelAmountLevel":26,"isFuelLevelLow":false,"distanceToEmpty":{"value":"180","unit":"km"},"fuelAmount":{"value":"18.0","unit":"l"}},"oilLevel":{"oilLevel":96},"tyrePressure":[{"warning":false,"pressure":{"value":"268.905","unit":"kPa"},"type":"FL","status":"NORMAL"},{"warning":false,"pressure":{"value":"268.905","unit":"kPa"},"type":"FR","status":"NORMAL"},{"warning":false,"pressure":{"value":"268.905","unit":"kPa"},"type":"RL","status":"NORMAL"},{"warning":false,"pressure":{"value":"275.79999999999995","unit":"kPa"},"type":"RR","status":"NORMAL"}],"batteryInfo":{"highVoltageBatterylevel":null,"batteryStateOfChargeEnhanced":null,"eventType":null,"batteryStatus":"0","batteryVoltage":{"value":"14.5","unit":"volts"},"batteryStateOfCharge":"null"},"tripsInfo":{"trips":[{"totalElectricDistance":{"value":"428.4","unit":"km"},"name":"TripA","totalDistance":{"value":"734","unit":"km"},"energyUsed":{"value":"12","unit":"kmpl"},"averageEnergyUsed":{"value":"12","unit":"kmpl"},"totalHybridDistance":{"value":"306.3","unit":"km"}},{"totalElectricDistance":{"value":"428.4","unit":"km"},"name":"TripB","totalDistance":{"value":"734","unit":"km"},"energyUsed":{"value":"12","unit":"kmpl"},"averageEnergyUsed":{"value":"12","unit":"kmpl"},"totalHybridDistance":{"value":"306.3","unit":"km"}}]},"batPwrUsageDisp":null,"estRange":null,"distanceToService":{"distanceToService":{"value":"null","unit":"km"}},"wheelCount":4,"hvacPwrUsageDisp":null,"mtrPwrUsageDisp":null,"tpmsvehicle":false,"isTPMSVehicle":false,"HVBatSOH":null,"timestamp":1771482004885},"evInfo":{"battery":{"distanceToEmpty":null,"totalRange":180,"stateOfCharge":null},"timestamp":1771482004885},"timestamp":1771482004885}</t>
  </si>
  <si>
    <t>SQDF</t>
  </si>
  <si>
    <t>ROC</t>
  </si>
  <si>
    <t>SOS</t>
  </si>
  <si>
    <t>ASOS</t>
  </si>
  <si>
    <t>VRC</t>
  </si>
  <si>
    <t>HUC</t>
  </si>
  <si>
    <t>AOTAC</t>
  </si>
  <si>
    <t>UBI</t>
  </si>
  <si>
    <t>WIFIHOTSPOT</t>
  </si>
  <si>
    <t>FTD</t>
  </si>
  <si>
    <t>IPCS</t>
  </si>
  <si>
    <t>BCALL</t>
  </si>
  <si>
    <t>DUMMY</t>
  </si>
  <si>
    <t>ROCLRPERSDATA</t>
  </si>
  <si>
    <t>SLI</t>
  </si>
  <si>
    <t>ServiceCode</t>
  </si>
  <si>
    <t>VehicleCapable</t>
  </si>
  <si>
    <t>ServiceEnabled</t>
  </si>
  <si>
    <t>RDL</t>
  </si>
  <si>
    <t>RDU</t>
  </si>
  <si>
    <t>ROSECUREDELIVERY</t>
  </si>
  <si>
    <t>VHSG</t>
  </si>
  <si>
    <t>SDV</t>
  </si>
  <si>
    <t>ASSIST</t>
  </si>
  <si>
    <t>VF</t>
  </si>
  <si>
    <t>SVLA</t>
  </si>
  <si>
    <t>ROCRANKINHIBITON</t>
  </si>
  <si>
    <t>ROCRANKINHIBITOFF</t>
  </si>
  <si>
    <t>ROLIGHTS</t>
  </si>
  <si>
    <t>TA</t>
  </si>
  <si>
    <t>DTC</t>
  </si>
  <si>
    <t>IVA</t>
  </si>
  <si>
    <t>IVAD</t>
  </si>
  <si>
    <t>IVM</t>
  </si>
  <si>
    <t>IVMD</t>
  </si>
  <si>
    <t>SVCSUBMSSG</t>
  </si>
  <si>
    <t>CONTIMAIN</t>
  </si>
  <si>
    <t>CALLMAN</t>
  </si>
  <si>
    <t>PARENT</t>
  </si>
  <si>
    <t>ECALL</t>
  </si>
  <si>
    <t>SVLAAPP</t>
  </si>
  <si>
    <t>FOTA</t>
  </si>
  <si>
    <t>NAV_OB_TRAFFIC</t>
  </si>
  <si>
    <t>NAV_OB_WEATHER</t>
  </si>
  <si>
    <t>NAV_OB_SPEED_CAMERA</t>
  </si>
  <si>
    <t>NAV_OB_SEARCH</t>
  </si>
  <si>
    <t>PHEV</t>
  </si>
  <si>
    <t>NAV_OB_FUEL_FINDER</t>
  </si>
  <si>
    <t>NAV_OB_PARKING_FINDER</t>
  </si>
  <si>
    <t>VHS</t>
  </si>
  <si>
    <t>CSL</t>
  </si>
  <si>
    <t>EVNOT</t>
  </si>
  <si>
    <t>CPPLUS</t>
  </si>
  <si>
    <t>CNOW</t>
  </si>
  <si>
    <t>DEEPREFRESH</t>
  </si>
  <si>
    <t>CHRGSETTING</t>
  </si>
  <si>
    <t>NAV_OB_ROUTE_DRM</t>
  </si>
  <si>
    <t>SDV_DMN</t>
  </si>
  <si>
    <t>NAVAUTH</t>
  </si>
  <si>
    <t>ORP</t>
  </si>
  <si>
    <t>COST9YP</t>
  </si>
  <si>
    <t>COST9YT</t>
  </si>
  <si>
    <t>COSTUGQ</t>
  </si>
  <si>
    <t>COSTUGM</t>
  </si>
  <si>
    <t>COSTUHN</t>
  </si>
  <si>
    <t>COST07W</t>
  </si>
  <si>
    <t>LASTMILE</t>
  </si>
  <si>
    <t>NAV_OB_MOTA_WIFI</t>
  </si>
  <si>
    <t>NAV_OB_MOTA_CELL</t>
  </si>
  <si>
    <t>NAV_OB_MOTA_WIFI_CELL</t>
  </si>
  <si>
    <t>ELECPAGES</t>
  </si>
  <si>
    <t>WIFIP</t>
  </si>
  <si>
    <t>ECOSERVICE</t>
  </si>
  <si>
    <t>ALEXAVA</t>
  </si>
  <si>
    <t>DASS</t>
  </si>
  <si>
    <t>ECOCOACHINGR1</t>
  </si>
  <si>
    <t>FLEET</t>
  </si>
  <si>
    <t>MACMEDIAAPP</t>
  </si>
  <si>
    <t>MYECHG</t>
  </si>
  <si>
    <t>AOTACI</t>
  </si>
  <si>
    <t>TA_SUP</t>
  </si>
  <si>
    <t>SOSR1</t>
  </si>
  <si>
    <t>ROPRECOND</t>
  </si>
  <si>
    <t>EVROUT</t>
  </si>
  <si>
    <t>CSL_NAV</t>
  </si>
  <si>
    <t>MYCAR</t>
  </si>
  <si>
    <t>G25CALL</t>
  </si>
  <si>
    <t>ROC2</t>
  </si>
  <si>
    <t>ADA_TBM</t>
  </si>
  <si>
    <t>ECALLONLY</t>
  </si>
  <si>
    <t>COST2PZ</t>
  </si>
  <si>
    <t>TPPAGES</t>
  </si>
  <si>
    <t>COSTUHL</t>
  </si>
  <si>
    <t>COST1GK</t>
  </si>
  <si>
    <t>CPA</t>
  </si>
  <si>
    <t>TRIPREPORT</t>
  </si>
  <si>
    <t>ADA_RADIOUSAGE</t>
  </si>
  <si>
    <t>SVC_SCHEDULE</t>
  </si>
  <si>
    <t>SVC_STATUS</t>
  </si>
  <si>
    <t>ADA_FTD</t>
  </si>
  <si>
    <t>ADA_HU</t>
  </si>
  <si>
    <t>ADA_UBI</t>
  </si>
  <si>
    <t>ADA_SQDF</t>
  </si>
  <si>
    <t>ROTRUNKUNLOCK</t>
  </si>
  <si>
    <t>RVS</t>
  </si>
  <si>
    <t>ECOCOACHING20</t>
  </si>
  <si>
    <t>FLEETENROLL</t>
  </si>
  <si>
    <t>MOTA_MONTH</t>
  </si>
  <si>
    <t>MOTA_TRIP</t>
  </si>
  <si>
    <t>MOTA_CELL</t>
  </si>
  <si>
    <t>MOTA_WIFI</t>
  </si>
  <si>
    <t>TUTORIALS</t>
  </si>
  <si>
    <t>ASOSBT</t>
  </si>
  <si>
    <t>BRAND</t>
  </si>
  <si>
    <t>BRANDBT</t>
  </si>
  <si>
    <t>CARE</t>
  </si>
  <si>
    <t>CAREBT</t>
  </si>
  <si>
    <t>CCSEV</t>
  </si>
  <si>
    <t>EVROUT1</t>
  </si>
  <si>
    <t>NAV_OB_ROUTE_DRM15</t>
  </si>
  <si>
    <t>ROAD</t>
  </si>
  <si>
    <t>ROADBT</t>
  </si>
  <si>
    <t>ROPRECOND_OFF</t>
  </si>
  <si>
    <t>CPCHRG2</t>
  </si>
  <si>
    <t>KIRIPHEV</t>
  </si>
  <si>
    <t>ORPPLUS</t>
  </si>
  <si>
    <t>PHEVON</t>
  </si>
  <si>
    <t>CSEV</t>
  </si>
  <si>
    <t>NFT</t>
  </si>
  <si>
    <t>CPPLUSBEV</t>
  </si>
  <si>
    <t>DUMMY2</t>
  </si>
  <si>
    <t>NAV_OB_ROUTE_DRM20</t>
  </si>
  <si>
    <t>DUMMY4</t>
  </si>
  <si>
    <t>MYENT</t>
  </si>
  <si>
    <t>INCARNAVADS</t>
  </si>
  <si>
    <t>ADA_X250_DOORSSTS</t>
  </si>
  <si>
    <t>ADA_X250_THERMCOND</t>
  </si>
  <si>
    <t>ADA_X250_REMLEV</t>
  </si>
  <si>
    <t>ADA_X250_PRIVACY</t>
  </si>
  <si>
    <t>ADA_X250_GENSTS</t>
  </si>
  <si>
    <t>ADA_X250_CRASHSTS</t>
  </si>
  <si>
    <t>ADA_X250_MAINTSTS</t>
  </si>
  <si>
    <t>ADA_X250_LOCATION</t>
  </si>
  <si>
    <t>ADA_X250_QUALITY_ICE</t>
  </si>
  <si>
    <t>ADA_X250_QUALITY_BEV</t>
  </si>
  <si>
    <t>ADA_X250_USAGESTS</t>
  </si>
  <si>
    <t>ADA_X250_ALTMEDIUM</t>
  </si>
  <si>
    <t>ADA_X250_JDA</t>
  </si>
  <si>
    <t>ADA_X250_ADAS</t>
  </si>
  <si>
    <t>ADA_X250_OBFCM</t>
  </si>
  <si>
    <t>DUMMY319APP</t>
  </si>
  <si>
    <t>ADA_PLUS</t>
  </si>
  <si>
    <t>IVWW</t>
  </si>
  <si>
    <t>DUMMY3</t>
  </si>
  <si>
    <t>Zkratka</t>
  </si>
  <si>
    <t>Pravděpodobný význam</t>
  </si>
  <si>
    <t>Remote Door Lock – dálkové zamknutí dveří jeep​</t>
  </si>
  <si>
    <t>Remote Door Unlock – dálkové odemknutí dveří jeep​</t>
  </si>
  <si>
    <t>Remote Secure Delivery – bezpečné dálkové doručení (balíčky do auta) jeep​</t>
  </si>
  <si>
    <r>
      <t>Secure Quick Data Fetch – bezpečné rychlé načítání telemetrie </t>
    </r>
    <r>
      <rPr>
        <sz val="6"/>
        <color theme="1"/>
        <rFont val="Courier New"/>
        <family val="3"/>
        <charset val="238"/>
      </rPr>
      <t>YouTube</t>
    </r>
    <r>
      <rPr>
        <sz val="11"/>
        <color theme="1"/>
        <rFont val="Segoe UI"/>
        <family val="2"/>
        <charset val="238"/>
      </rPr>
      <t>​</t>
    </r>
  </si>
  <si>
    <r>
      <t>Software Defined Vehicle – software-ovládané funkce vozidla </t>
    </r>
    <r>
      <rPr>
        <sz val="6"/>
        <color theme="1"/>
        <rFont val="Courier New"/>
        <family val="3"/>
        <charset val="238"/>
      </rPr>
      <t>YouTube</t>
    </r>
    <r>
      <rPr>
        <sz val="11"/>
        <color theme="1"/>
        <rFont val="Segoe UI"/>
        <family val="2"/>
        <charset val="238"/>
      </rPr>
      <t>​</t>
    </r>
  </si>
  <si>
    <t>Remote Operations Center – centrum dálkových operací stellantisnorthamerica​</t>
  </si>
  <si>
    <r>
      <t>SOS Call / eCall – nouzové volání při kolizi </t>
    </r>
    <r>
      <rPr>
        <sz val="6"/>
        <color theme="1"/>
        <rFont val="Courier New"/>
        <family val="3"/>
        <charset val="238"/>
      </rPr>
      <t>stellantisnorthamerica+1</t>
    </r>
  </si>
  <si>
    <t>Advanced SOS – rozšířené SOS s daty vozidla (automatické po airbag) jeep​</t>
  </si>
  <si>
    <t>Vehicle Finder – najít vozidlo (blikání světel) jeep​</t>
  </si>
  <si>
    <r>
      <t>Secure Vehicle Location Access – bezpečný přístup k poloze </t>
    </r>
    <r>
      <rPr>
        <sz val="6"/>
        <color theme="1"/>
        <rFont val="Courier New"/>
        <family val="3"/>
        <charset val="238"/>
      </rPr>
      <t>YouTube</t>
    </r>
    <r>
      <rPr>
        <sz val="11"/>
        <color theme="1"/>
        <rFont val="Segoe UI"/>
        <family val="2"/>
        <charset val="238"/>
      </rPr>
      <t>​</t>
    </r>
  </si>
  <si>
    <t>Theft Alert / Tracking Assistance – upozornění na krádež jeep​</t>
  </si>
  <si>
    <t>Vehicle Remote Control – dálkové ovládání (start, zámek) jeep​</t>
  </si>
  <si>
    <t>Diagnostic Trouble Codes – diagnostické kódy chyb stellantisnorthamerica​</t>
  </si>
  <si>
    <t>Head Unit Communication – komunikace s infotainment (Uconnect displej) mideast.jeep​</t>
  </si>
  <si>
    <r>
      <t>Advanced Over-The-Air Commands – pokročilé OTA příkazy </t>
    </r>
    <r>
      <rPr>
        <sz val="6"/>
        <color theme="1"/>
        <rFont val="Courier New"/>
        <family val="3"/>
        <charset val="238"/>
      </rPr>
      <t>YouTube</t>
    </r>
    <r>
      <rPr>
        <sz val="11"/>
        <color theme="1"/>
        <rFont val="Segoe UI"/>
        <family val="2"/>
        <charset val="238"/>
      </rPr>
      <t>​</t>
    </r>
  </si>
  <si>
    <r>
      <t>Usage-Based Insurance – telematika pro pojistné </t>
    </r>
    <r>
      <rPr>
        <sz val="6"/>
        <color theme="1"/>
        <rFont val="Courier New"/>
        <family val="3"/>
        <charset val="238"/>
      </rPr>
      <t>YouTube</t>
    </r>
    <r>
      <rPr>
        <sz val="11"/>
        <color theme="1"/>
        <rFont val="Segoe UI"/>
        <family val="2"/>
        <charset val="238"/>
      </rPr>
      <t>​</t>
    </r>
  </si>
  <si>
    <t>WiFi Hotspot – 4G/5G hotspot pro pasažéry mideast.jeep​</t>
  </si>
  <si>
    <t>Flash To Distress / Find The Device – blikání pro lokalizaci jeep​</t>
  </si>
  <si>
    <r>
      <t>In-Vehicle Payment &amp; Commerce Services – platby v autě </t>
    </r>
    <r>
      <rPr>
        <sz val="6"/>
        <color theme="1"/>
        <rFont val="Courier New"/>
        <family val="3"/>
        <charset val="238"/>
      </rPr>
      <t>YouTube</t>
    </r>
    <r>
      <rPr>
        <sz val="11"/>
        <color theme="1"/>
        <rFont val="Segoe UI"/>
        <family val="2"/>
        <charset val="238"/>
      </rPr>
      <t>​</t>
    </r>
  </si>
  <si>
    <r>
      <t>Parent Controls – rodičovská kontrola (rychlost, geo-fence) </t>
    </r>
    <r>
      <rPr>
        <sz val="6"/>
        <color theme="1"/>
        <rFont val="Courier New"/>
        <family val="3"/>
        <charset val="238"/>
      </rPr>
      <t>YouTube</t>
    </r>
    <r>
      <rPr>
        <sz val="11"/>
        <color theme="1"/>
        <rFont val="Segoe UI"/>
        <family val="2"/>
        <charset val="238"/>
      </rPr>
      <t>​</t>
    </r>
  </si>
  <si>
    <r>
      <t>Bluetooth Call / BlueCall – handsfree volání </t>
    </r>
    <r>
      <rPr>
        <sz val="6"/>
        <color theme="1"/>
        <rFont val="Courier New"/>
        <family val="3"/>
        <charset val="238"/>
      </rPr>
      <t>YouTube</t>
    </r>
    <r>
      <rPr>
        <sz val="11"/>
        <color theme="1"/>
        <rFont val="Segoe UI"/>
        <family val="2"/>
        <charset val="238"/>
      </rPr>
      <t>​</t>
    </r>
  </si>
  <si>
    <r>
      <t>SVLA App Integration – SVLA přes mobilní app </t>
    </r>
    <r>
      <rPr>
        <sz val="6"/>
        <color theme="1"/>
        <rFont val="Courier New"/>
        <family val="3"/>
        <charset val="238"/>
      </rPr>
      <t>YouTube</t>
    </r>
    <r>
      <rPr>
        <sz val="11"/>
        <color theme="1"/>
        <rFont val="Segoe UI"/>
        <family val="2"/>
        <charset val="238"/>
      </rPr>
      <t>​</t>
    </r>
  </si>
  <si>
    <t>Firmware Over-The-Air – OTA aktualizace firmwaru driveuconnect​</t>
  </si>
  <si>
    <t>Navigation Over-The-Air Traffic – online dopravní info jeep​</t>
  </si>
  <si>
    <t>Navigation Over-The-Air Weather – online počasí jeep​</t>
  </si>
  <si>
    <t>Navigation Over-The-Air Speed Cameras – rychlostní radary jeep​</t>
  </si>
  <si>
    <t>Navigation Over-The-Air Search – online vyhledávání POI jeep​</t>
  </si>
  <si>
    <r>
      <t>Plug-in Hybrid Electric Vehicle services – nabíjení, range </t>
    </r>
    <r>
      <rPr>
        <sz val="6"/>
        <color theme="1"/>
        <rFont val="Courier New"/>
        <family val="3"/>
        <charset val="238"/>
      </rPr>
      <t>YouTube</t>
    </r>
    <r>
      <rPr>
        <sz val="11"/>
        <color theme="1"/>
        <rFont val="Segoe UI"/>
        <family val="2"/>
        <charset val="238"/>
      </rPr>
      <t>​</t>
    </r>
  </si>
  <si>
    <t>Vehicle Health Services – stav vozidla (olej, tlaky) stellantisnorthamerica​</t>
  </si>
  <si>
    <r>
      <t>Connected Services Layer – vrstva konektivity </t>
    </r>
    <r>
      <rPr>
        <sz val="6"/>
        <color theme="1"/>
        <rFont val="Courier New"/>
        <family val="3"/>
        <charset val="238"/>
      </rPr>
      <t>YouTube</t>
    </r>
    <r>
      <rPr>
        <sz val="11"/>
        <color theme="1"/>
        <rFont val="Segoe UI"/>
        <family val="2"/>
        <charset val="238"/>
      </rPr>
      <t>​</t>
    </r>
  </si>
  <si>
    <r>
      <t>Charge Point Plus – rozšířené nabíjení (EV/PHEV) </t>
    </r>
    <r>
      <rPr>
        <sz val="6"/>
        <color theme="1"/>
        <rFont val="Courier New"/>
        <family val="3"/>
        <charset val="238"/>
      </rPr>
      <t>YouTube</t>
    </r>
    <r>
      <rPr>
        <sz val="11"/>
        <color theme="1"/>
        <rFont val="Segoe UI"/>
        <family val="2"/>
        <charset val="238"/>
      </rPr>
      <t>​</t>
    </r>
  </si>
  <si>
    <r>
      <t>Deep Refresh – hloubkové obnovení dat/systému </t>
    </r>
    <r>
      <rPr>
        <sz val="6"/>
        <color theme="1"/>
        <rFont val="Courier New"/>
        <family val="3"/>
        <charset val="238"/>
      </rPr>
      <t>YouTube</t>
    </r>
    <r>
      <rPr>
        <sz val="11"/>
        <color theme="1"/>
        <rFont val="Segoe UI"/>
        <family val="2"/>
        <charset val="238"/>
      </rPr>
      <t>​</t>
    </r>
  </si>
  <si>
    <r>
      <t>Dummy/Test Service – testovací služba pro vývoj </t>
    </r>
    <r>
      <rPr>
        <sz val="6"/>
        <color theme="1"/>
        <rFont val="Courier New"/>
        <family val="3"/>
        <charset val="238"/>
      </rPr>
      <t>YouTube</t>
    </r>
    <r>
      <rPr>
        <sz val="11"/>
        <color theme="1"/>
        <rFont val="Segoe UI"/>
        <family val="2"/>
        <charset val="238"/>
      </rPr>
      <t>​</t>
    </r>
  </si>
  <si>
    <r>
      <t>Diagnostic and Analytics Service Suite – diagnostika </t>
    </r>
    <r>
      <rPr>
        <sz val="6"/>
        <color theme="1"/>
        <rFont val="Courier New"/>
        <family val="3"/>
        <charset val="238"/>
      </rPr>
      <t>YouTube</t>
    </r>
    <r>
      <rPr>
        <sz val="11"/>
        <color theme="1"/>
        <rFont val="Segoe UI"/>
        <family val="2"/>
        <charset val="238"/>
      </rPr>
      <t>​</t>
    </r>
  </si>
  <si>
    <r>
      <t>My eCharge – moje nabíjení (PHEV app) </t>
    </r>
    <r>
      <rPr>
        <sz val="6"/>
        <color theme="1"/>
        <rFont val="Courier New"/>
        <family val="3"/>
        <charset val="238"/>
      </rPr>
      <t>YouTube</t>
    </r>
    <r>
      <rPr>
        <sz val="11"/>
        <color theme="1"/>
        <rFont val="Segoe UI"/>
        <family val="2"/>
        <charset val="238"/>
      </rPr>
      <t>​</t>
    </r>
  </si>
  <si>
    <r>
      <t>Theft Assistance Support – podpora proti krádeži </t>
    </r>
    <r>
      <rPr>
        <sz val="6"/>
        <color theme="1"/>
        <rFont val="Courier New"/>
        <family val="3"/>
        <charset val="238"/>
      </rPr>
      <t>YouTube</t>
    </r>
    <r>
      <rPr>
        <sz val="11"/>
        <color theme="1"/>
        <rFont val="Segoe UI"/>
        <family val="2"/>
        <charset val="238"/>
      </rPr>
      <t>​</t>
    </r>
  </si>
  <si>
    <r>
      <t>Remote Clear Personal Data – dálkové vymazání dat </t>
    </r>
    <r>
      <rPr>
        <sz val="6"/>
        <color theme="1"/>
        <rFont val="Courier New"/>
        <family val="3"/>
        <charset val="238"/>
      </rPr>
      <t>jeep+1</t>
    </r>
  </si>
  <si>
    <t>Navigation Over-The-Air Route DRM (15 min?) – dynamické trasy jeep​</t>
  </si>
  <si>
    <r>
      <t>Kiri PHEV? (možná Kia/Jeep interní PHEV) </t>
    </r>
    <r>
      <rPr>
        <sz val="6"/>
        <color theme="1"/>
        <rFont val="Courier New"/>
        <family val="3"/>
        <charset val="238"/>
      </rPr>
      <t>YouTube</t>
    </r>
    <r>
      <rPr>
        <sz val="11"/>
        <color theme="1"/>
        <rFont val="Segoe UI"/>
        <family val="2"/>
        <charset val="238"/>
      </rPr>
      <t>​</t>
    </r>
  </si>
  <si>
    <r>
      <t>Další testovací služba </t>
    </r>
    <r>
      <rPr>
        <sz val="6"/>
        <color theme="1"/>
        <rFont val="Courier New"/>
        <family val="3"/>
        <charset val="238"/>
      </rPr>
      <t>YouTube</t>
    </r>
    <r>
      <rPr>
        <sz val="11"/>
        <color theme="1"/>
        <rFont val="Segoe UI"/>
        <family val="2"/>
        <charset val="238"/>
      </rPr>
      <t>​</t>
    </r>
  </si>
  <si>
    <r>
      <t>Smart Location Info – chytré GPS data </t>
    </r>
    <r>
      <rPr>
        <sz val="6"/>
        <color theme="1"/>
        <rFont val="Courier New"/>
        <family val="3"/>
        <charset val="238"/>
      </rPr>
      <t>YouTube</t>
    </r>
    <r>
      <rPr>
        <sz val="11"/>
        <color theme="1"/>
        <rFont val="Segoe UI"/>
        <family val="2"/>
        <charset val="238"/>
      </rPr>
      <t>​</t>
    </r>
  </si>
  <si>
    <r>
      <t>Testovací služba </t>
    </r>
    <r>
      <rPr>
        <sz val="6"/>
        <color theme="1"/>
        <rFont val="Courier New"/>
        <family val="3"/>
        <charset val="238"/>
      </rPr>
      <t>YouTube</t>
    </r>
    <r>
      <rPr>
        <sz val="11"/>
        <color theme="1"/>
        <rFont val="Segoe UI"/>
        <family val="2"/>
        <charset val="238"/>
      </rPr>
      <t>​</t>
    </r>
  </si>
  <si>
    <t>Service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</si>
</sst>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b/>
      <sz val="11"/>
      <color theme="1"/>
      <name val="Segoe UI"/>
      <family val="2"/>
      <charset val="238"/>
    </font>
    <font>
      <sz val="11"/>
      <color theme="1"/>
      <name val="Segoe UI"/>
      <family val="2"/>
      <charset val="238"/>
    </font>
    <font>
      <sz val="6"/>
      <color theme="1"/>
      <name val="Courier New"/>
      <family val="3"/>
      <charset val="238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2" xfId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1" fillId="0" borderId="0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charset val="238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charset val="238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charset val="238"/>
        <scheme val="none"/>
      </font>
      <alignment horizontal="left" vertical="bottom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38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38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38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38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067877-2382-47D7-B306-D95291580337}" name="Table1" displayName="Table1" ref="A1:D152" totalsRowShown="0" headerRowDxfId="12" headerRowBorderDxfId="11" tableBorderDxfId="10" totalsRowBorderDxfId="9">
  <autoFilter ref="A1:D152" xr:uid="{2C067877-2382-47D7-B306-D95291580337}">
    <filterColumn colId="1">
      <filters>
        <filter val="TRUE"/>
      </filters>
    </filterColumn>
  </autoFilter>
  <tableColumns count="4">
    <tableColumn id="1" xr3:uid="{C537ABB2-0A9E-4786-B66F-E1DA2C3A0943}" name="ServiceCode" dataDxfId="8"/>
    <tableColumn id="2" xr3:uid="{B6216EEF-84B0-4D95-A1FC-D7E4900295EA}" name="VehicleCapable" dataDxfId="7"/>
    <tableColumn id="3" xr3:uid="{C4FB39DB-8A32-417D-97FA-DC148A372B47}" name="ServiceEnabled" dataDxfId="6"/>
    <tableColumn id="4" xr3:uid="{1077C35D-D7F1-421D-BC7C-92A9F434C84F}" name="Service Description" dataDxfId="5">
      <calculatedColumnFormula>VLOOKUP(Table1[[#This Row],[ServiceCode]],Table2[#All],2,TRUE)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CD0FF2-4E55-4A4C-8383-8C6E17F1ABBE}" name="Table2" displayName="Table2" ref="A1:B43" totalsRowShown="0" headerRowDxfId="4" headerRowBorderDxfId="3" tableBorderDxfId="2">
  <autoFilter ref="A1:B43" xr:uid="{1BCD0FF2-4E55-4A4C-8383-8C6E17F1ABBE}"/>
  <sortState xmlns:xlrd2="http://schemas.microsoft.com/office/spreadsheetml/2017/richdata2" ref="A2:B43">
    <sortCondition ref="A1:A43"/>
  </sortState>
  <tableColumns count="2">
    <tableColumn id="1" xr3:uid="{252D9ED2-E623-4A8B-86E9-A6E7C00DF84F}" name="Zkratka" dataDxfId="1"/>
    <tableColumn id="2" xr3:uid="{A928E2B0-FDF8-43C7-96B2-D6CF25D0BC6E}" name="Pravděpodobný význam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jeep.com/mq/uconnect/connectivity.html" TargetMode="External"/><Relationship Id="rId13" Type="http://schemas.openxmlformats.org/officeDocument/2006/relationships/hyperlink" Target="https://www.driveuconnect.com/support/software-update.html" TargetMode="External"/><Relationship Id="rId18" Type="http://schemas.openxmlformats.org/officeDocument/2006/relationships/hyperlink" Target="https://media.stellantisnorthamerica.com/newsrelease.do?id=25241&amp;mid=102" TargetMode="External"/><Relationship Id="rId3" Type="http://schemas.openxmlformats.org/officeDocument/2006/relationships/hyperlink" Target="https://www.jeep.com/mq/uconnect/connectivity.html" TargetMode="External"/><Relationship Id="rId7" Type="http://schemas.openxmlformats.org/officeDocument/2006/relationships/hyperlink" Target="https://www.jeep.com/mq/uconnect/connectivity.html" TargetMode="External"/><Relationship Id="rId12" Type="http://schemas.openxmlformats.org/officeDocument/2006/relationships/hyperlink" Target="https://www.jeep.com/mq/uconnect/connectivity.html" TargetMode="External"/><Relationship Id="rId17" Type="http://schemas.openxmlformats.org/officeDocument/2006/relationships/hyperlink" Target="https://www.jeep.cz/servis-a-sluzby/konektivni-sluzby" TargetMode="External"/><Relationship Id="rId2" Type="http://schemas.openxmlformats.org/officeDocument/2006/relationships/hyperlink" Target="https://www.jeep.com/mq/uconnect/connectivity.html" TargetMode="External"/><Relationship Id="rId16" Type="http://schemas.openxmlformats.org/officeDocument/2006/relationships/hyperlink" Target="https://www.jeep.cz/servis-a-sluzby/konektivni-sluzby" TargetMode="External"/><Relationship Id="rId20" Type="http://schemas.openxmlformats.org/officeDocument/2006/relationships/table" Target="../tables/table2.xml"/><Relationship Id="rId1" Type="http://schemas.openxmlformats.org/officeDocument/2006/relationships/hyperlink" Target="https://www.jeep.com/mq/uconnect/connectivity.html" TargetMode="External"/><Relationship Id="rId6" Type="http://schemas.openxmlformats.org/officeDocument/2006/relationships/hyperlink" Target="https://www.jeep.com/mq/uconnect/connectivity.html" TargetMode="External"/><Relationship Id="rId11" Type="http://schemas.openxmlformats.org/officeDocument/2006/relationships/hyperlink" Target="https://www.mideast.jeep.com/en/2021/wrangler/technology.html" TargetMode="External"/><Relationship Id="rId5" Type="http://schemas.openxmlformats.org/officeDocument/2006/relationships/hyperlink" Target="https://www.jeep.com/mq/uconnect/connectivity.html" TargetMode="External"/><Relationship Id="rId15" Type="http://schemas.openxmlformats.org/officeDocument/2006/relationships/hyperlink" Target="https://www.jeep.cz/servis-a-sluzby/konektivni-sluzby" TargetMode="External"/><Relationship Id="rId10" Type="http://schemas.openxmlformats.org/officeDocument/2006/relationships/hyperlink" Target="https://www.mideast.jeep.com/en/2021/wrangler/technology.html" TargetMode="External"/><Relationship Id="rId19" Type="http://schemas.openxmlformats.org/officeDocument/2006/relationships/hyperlink" Target="https://www.jeep.cz/servis-a-sluzby/konektivni-sluzby" TargetMode="External"/><Relationship Id="rId4" Type="http://schemas.openxmlformats.org/officeDocument/2006/relationships/hyperlink" Target="https://media.stellantisnorthamerica.com/newsrelease.do?id=25241&amp;mid=" TargetMode="External"/><Relationship Id="rId9" Type="http://schemas.openxmlformats.org/officeDocument/2006/relationships/hyperlink" Target="https://media.stellantisnorthamerica.com/newsrelease.do?id=25241&amp;mid=102" TargetMode="External"/><Relationship Id="rId14" Type="http://schemas.openxmlformats.org/officeDocument/2006/relationships/hyperlink" Target="https://www.jeep.cz/servis-a-sluzby/konektivni-sluzb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8A43C-26A5-4B22-BD5C-957E6A9FCA0B}">
  <dimension ref="A1:A2"/>
  <sheetViews>
    <sheetView tabSelected="1" workbookViewId="0">
      <selection activeCell="C14" sqref="C1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7CB23-4A09-4CC9-A534-208BFA8DF60D}">
  <dimension ref="A1:D152"/>
  <sheetViews>
    <sheetView topLeftCell="A11" workbookViewId="0">
      <selection sqref="A1:D131"/>
    </sheetView>
  </sheetViews>
  <sheetFormatPr defaultRowHeight="14.4" x14ac:dyDescent="0.3"/>
  <cols>
    <col min="1" max="3" width="21.44140625" customWidth="1"/>
    <col min="4" max="4" width="78.44140625" bestFit="1" customWidth="1"/>
    <col min="9" max="11" width="34.6640625" customWidth="1"/>
    <col min="12" max="12" width="24.77734375" customWidth="1"/>
  </cols>
  <sheetData>
    <row r="1" spans="1:4" x14ac:dyDescent="0.3">
      <c r="A1" s="10" t="s">
        <v>17</v>
      </c>
      <c r="B1" s="11" t="s">
        <v>18</v>
      </c>
      <c r="C1" s="12" t="s">
        <v>19</v>
      </c>
      <c r="D1" s="11" t="s">
        <v>200</v>
      </c>
    </row>
    <row r="2" spans="1:4" x14ac:dyDescent="0.3">
      <c r="A2" s="8" t="s">
        <v>20</v>
      </c>
      <c r="B2" s="7" t="b">
        <v>1</v>
      </c>
      <c r="C2" s="9" t="b">
        <v>0</v>
      </c>
      <c r="D2" t="str">
        <f>VLOOKUP(Table1[[#This Row],[ServiceCode]],Table2[#All],2,TRUE)</f>
        <v>Remote Door Lock – dálkové zamknutí dveří jeep​</v>
      </c>
    </row>
    <row r="3" spans="1:4" x14ac:dyDescent="0.3">
      <c r="A3" s="8" t="s">
        <v>21</v>
      </c>
      <c r="B3" s="7" t="b">
        <v>1</v>
      </c>
      <c r="C3" s="9" t="b">
        <v>0</v>
      </c>
      <c r="D3" t="str">
        <f>VLOOKUP(Table1[[#This Row],[ServiceCode]],Table2[#All],2,TRUE)</f>
        <v>Remote Door Unlock – dálkové odemknutí dveří jeep​</v>
      </c>
    </row>
    <row r="4" spans="1:4" ht="27.6" x14ac:dyDescent="0.3">
      <c r="A4" s="8" t="s">
        <v>22</v>
      </c>
      <c r="B4" s="7" t="b">
        <v>1</v>
      </c>
      <c r="C4" s="9" t="b">
        <v>0</v>
      </c>
      <c r="D4" t="str">
        <f>VLOOKUP(Table1[[#This Row],[ServiceCode]],Table2[#All],2,TRUE)</f>
        <v>Remote Secure Delivery – bezpečné dálkové doručení (balíčky do auta) jeep​</v>
      </c>
    </row>
    <row r="5" spans="1:4" x14ac:dyDescent="0.3">
      <c r="A5" s="8" t="s">
        <v>2</v>
      </c>
      <c r="B5" s="7" t="b">
        <v>1</v>
      </c>
      <c r="C5" s="9" t="b">
        <v>1</v>
      </c>
      <c r="D5" t="str">
        <f>VLOOKUP(Table1[[#This Row],[ServiceCode]],Table2[#All],2,TRUE)</f>
        <v>Secure Quick Data Fetch – bezpečné rychlé načítání telemetrie YouTube​</v>
      </c>
    </row>
    <row r="6" spans="1:4" hidden="1" x14ac:dyDescent="0.3">
      <c r="A6" s="8" t="s">
        <v>23</v>
      </c>
      <c r="B6" s="7" t="b">
        <v>0</v>
      </c>
      <c r="C6" s="9" t="b">
        <v>0</v>
      </c>
      <c r="D6" t="str">
        <f>VLOOKUP(Table1[[#This Row],[ServiceCode]],Table2[#All],2,TRUE)</f>
        <v>Vehicle Health Services – stav vozidla (olej, tlaky) stellantisnorthamerica​</v>
      </c>
    </row>
    <row r="7" spans="1:4" x14ac:dyDescent="0.3">
      <c r="A7" s="8" t="s">
        <v>24</v>
      </c>
      <c r="B7" s="7" t="b">
        <v>1</v>
      </c>
      <c r="C7" s="9" t="b">
        <v>0</v>
      </c>
      <c r="D7" t="str">
        <f>VLOOKUP(Table1[[#This Row],[ServiceCode]],Table2[#All],2,TRUE)</f>
        <v>Software Defined Vehicle – software-ovládané funkce vozidla YouTube​</v>
      </c>
    </row>
    <row r="8" spans="1:4" hidden="1" x14ac:dyDescent="0.3">
      <c r="A8" s="8" t="s">
        <v>25</v>
      </c>
      <c r="B8" s="7" t="b">
        <v>0</v>
      </c>
      <c r="C8" s="9" t="b">
        <v>0</v>
      </c>
      <c r="D8" t="str">
        <f>VLOOKUP(Table1[[#This Row],[ServiceCode]],Table2[#All],2,TRUE)</f>
        <v>Advanced SOS – rozšířené SOS s daty vozidla (automatické po airbag) jeep​</v>
      </c>
    </row>
    <row r="9" spans="1:4" x14ac:dyDescent="0.3">
      <c r="A9" s="8" t="s">
        <v>3</v>
      </c>
      <c r="B9" s="7" t="b">
        <v>1</v>
      </c>
      <c r="C9" s="9" t="b">
        <v>1</v>
      </c>
      <c r="D9" t="str">
        <f>VLOOKUP(Table1[[#This Row],[ServiceCode]],Table2[#All],2,TRUE)</f>
        <v>Remote Operations Center – centrum dálkových operací stellantisnorthamerica​</v>
      </c>
    </row>
    <row r="10" spans="1:4" x14ac:dyDescent="0.3">
      <c r="A10" s="8" t="s">
        <v>4</v>
      </c>
      <c r="B10" s="7" t="b">
        <v>1</v>
      </c>
      <c r="C10" s="9" t="b">
        <v>1</v>
      </c>
      <c r="D10" t="str">
        <f>VLOOKUP(Table1[[#This Row],[ServiceCode]],Table2[#All],2,TRUE)</f>
        <v>SOS Call / eCall – nouzové volání při kolizi stellantisnorthamerica+1</v>
      </c>
    </row>
    <row r="11" spans="1:4" x14ac:dyDescent="0.3">
      <c r="A11" s="8" t="s">
        <v>5</v>
      </c>
      <c r="B11" s="7" t="b">
        <v>1</v>
      </c>
      <c r="C11" s="9" t="b">
        <v>1</v>
      </c>
      <c r="D11" t="str">
        <f>VLOOKUP(Table1[[#This Row],[ServiceCode]],Table2[#All],2,TRUE)</f>
        <v>Advanced SOS – rozšířené SOS s daty vozidla (automatické po airbag) jeep​</v>
      </c>
    </row>
    <row r="12" spans="1:4" x14ac:dyDescent="0.3">
      <c r="A12" s="8" t="s">
        <v>26</v>
      </c>
      <c r="B12" s="7" t="b">
        <v>1</v>
      </c>
      <c r="C12" s="9" t="b">
        <v>0</v>
      </c>
      <c r="D12" t="str">
        <f>VLOOKUP(Table1[[#This Row],[ServiceCode]],Table2[#All],2,TRUE)</f>
        <v>Vehicle Finder – najít vozidlo (blikání světel) jeep​</v>
      </c>
    </row>
    <row r="13" spans="1:4" x14ac:dyDescent="0.3">
      <c r="A13" s="8" t="s">
        <v>27</v>
      </c>
      <c r="B13" s="7" t="b">
        <v>1</v>
      </c>
      <c r="C13" s="9" t="b">
        <v>0</v>
      </c>
      <c r="D13" t="str">
        <f>VLOOKUP(Table1[[#This Row],[ServiceCode]],Table2[#All],2,TRUE)</f>
        <v>Secure Vehicle Location Access – bezpečný přístup k poloze YouTube​</v>
      </c>
    </row>
    <row r="14" spans="1:4" ht="27.6" hidden="1" x14ac:dyDescent="0.3">
      <c r="A14" s="8" t="s">
        <v>28</v>
      </c>
      <c r="B14" s="7" t="b">
        <v>0</v>
      </c>
      <c r="C14" s="9" t="b">
        <v>0</v>
      </c>
      <c r="D14" t="str">
        <f>VLOOKUP(Table1[[#This Row],[ServiceCode]],Table2[#All],2,TRUE)</f>
        <v>Remote Clear Personal Data – dálkové vymazání dat jeep+1</v>
      </c>
    </row>
    <row r="15" spans="1:4" ht="27.6" hidden="1" x14ac:dyDescent="0.3">
      <c r="A15" s="8" t="s">
        <v>29</v>
      </c>
      <c r="B15" s="7" t="b">
        <v>0</v>
      </c>
      <c r="C15" s="9" t="b">
        <v>0</v>
      </c>
      <c r="D15" t="str">
        <f>VLOOKUP(Table1[[#This Row],[ServiceCode]],Table2[#All],2,TRUE)</f>
        <v>Remote Clear Personal Data – dálkové vymazání dat jeep+1</v>
      </c>
    </row>
    <row r="16" spans="1:4" hidden="1" x14ac:dyDescent="0.3">
      <c r="A16" s="8" t="s">
        <v>30</v>
      </c>
      <c r="B16" s="7" t="b">
        <v>0</v>
      </c>
      <c r="C16" s="9" t="b">
        <v>0</v>
      </c>
      <c r="D16" t="str">
        <f>VLOOKUP(Table1[[#This Row],[ServiceCode]],Table2[#All],2,TRUE)</f>
        <v>Remote Clear Personal Data – dálkové vymazání dat jeep+1</v>
      </c>
    </row>
    <row r="17" spans="1:4" x14ac:dyDescent="0.3">
      <c r="A17" s="8" t="s">
        <v>31</v>
      </c>
      <c r="B17" s="7" t="b">
        <v>1</v>
      </c>
      <c r="C17" s="9" t="b">
        <v>0</v>
      </c>
      <c r="D17" t="str">
        <f>VLOOKUP(Table1[[#This Row],[ServiceCode]],Table2[#All],2,TRUE)</f>
        <v>Theft Alert / Tracking Assistance – upozornění na krádež jeep​</v>
      </c>
    </row>
    <row r="18" spans="1:4" x14ac:dyDescent="0.3">
      <c r="A18" s="8" t="s">
        <v>6</v>
      </c>
      <c r="B18" s="7" t="b">
        <v>1</v>
      </c>
      <c r="C18" s="9" t="b">
        <v>1</v>
      </c>
      <c r="D18" t="str">
        <f>VLOOKUP(Table1[[#This Row],[ServiceCode]],Table2[#All],2,TRUE)</f>
        <v>Vehicle Remote Control – dálkové ovládání (start, zámek) jeep​</v>
      </c>
    </row>
    <row r="19" spans="1:4" x14ac:dyDescent="0.3">
      <c r="A19" s="8" t="s">
        <v>32</v>
      </c>
      <c r="B19" s="7" t="b">
        <v>1</v>
      </c>
      <c r="C19" s="9" t="b">
        <v>0</v>
      </c>
      <c r="D19" t="str">
        <f>VLOOKUP(Table1[[#This Row],[ServiceCode]],Table2[#All],2,TRUE)</f>
        <v>Diagnostic Trouble Codes – diagnostické kódy chyb stellantisnorthamerica​</v>
      </c>
    </row>
    <row r="20" spans="1:4" x14ac:dyDescent="0.3">
      <c r="A20" s="8" t="s">
        <v>7</v>
      </c>
      <c r="B20" s="7" t="b">
        <v>1</v>
      </c>
      <c r="C20" s="9" t="b">
        <v>1</v>
      </c>
      <c r="D20" t="str">
        <f>VLOOKUP(Table1[[#This Row],[ServiceCode]],Table2[#All],2,TRUE)</f>
        <v>Head Unit Communication – komunikace s infotainment (Uconnect displej) mideast.jeep​</v>
      </c>
    </row>
    <row r="21" spans="1:4" x14ac:dyDescent="0.3">
      <c r="A21" s="8" t="s">
        <v>8</v>
      </c>
      <c r="B21" s="7" t="b">
        <v>1</v>
      </c>
      <c r="C21" s="9" t="b">
        <v>1</v>
      </c>
      <c r="D21" t="str">
        <f>VLOOKUP(Table1[[#This Row],[ServiceCode]],Table2[#All],2,TRUE)</f>
        <v>Advanced Over-The-Air Commands – pokročilé OTA příkazy YouTube​</v>
      </c>
    </row>
    <row r="22" spans="1:4" x14ac:dyDescent="0.3">
      <c r="A22" s="8" t="s">
        <v>9</v>
      </c>
      <c r="B22" s="7" t="b">
        <v>1</v>
      </c>
      <c r="C22" s="9" t="b">
        <v>1</v>
      </c>
      <c r="D22" t="str">
        <f>VLOOKUP(Table1[[#This Row],[ServiceCode]],Table2[#All],2,TRUE)</f>
        <v>Usage-Based Insurance – telematika pro pojistné YouTube​</v>
      </c>
    </row>
    <row r="23" spans="1:4" x14ac:dyDescent="0.3">
      <c r="A23" s="8" t="s">
        <v>10</v>
      </c>
      <c r="B23" s="7" t="b">
        <v>1</v>
      </c>
      <c r="C23" s="9" t="b">
        <v>1</v>
      </c>
      <c r="D23" t="str">
        <f>VLOOKUP(Table1[[#This Row],[ServiceCode]],Table2[#All],2,TRUE)</f>
        <v>WiFi Hotspot – 4G/5G hotspot pro pasažéry mideast.jeep​</v>
      </c>
    </row>
    <row r="24" spans="1:4" hidden="1" x14ac:dyDescent="0.3">
      <c r="A24" s="8" t="s">
        <v>33</v>
      </c>
      <c r="B24" s="7" t="b">
        <v>0</v>
      </c>
      <c r="C24" s="9" t="b">
        <v>0</v>
      </c>
      <c r="D24" t="str">
        <f>VLOOKUP(Table1[[#This Row],[ServiceCode]],Table2[#All],2,TRUE)</f>
        <v>In-Vehicle Payment &amp; Commerce Services – platby v autě YouTube​</v>
      </c>
    </row>
    <row r="25" spans="1:4" hidden="1" x14ac:dyDescent="0.3">
      <c r="A25" s="8" t="s">
        <v>34</v>
      </c>
      <c r="B25" s="7" t="b">
        <v>0</v>
      </c>
      <c r="C25" s="9" t="b">
        <v>0</v>
      </c>
      <c r="D25" t="str">
        <f>VLOOKUP(Table1[[#This Row],[ServiceCode]],Table2[#All],2,TRUE)</f>
        <v>In-Vehicle Payment &amp; Commerce Services – platby v autě YouTube​</v>
      </c>
    </row>
    <row r="26" spans="1:4" hidden="1" x14ac:dyDescent="0.3">
      <c r="A26" s="8" t="s">
        <v>35</v>
      </c>
      <c r="B26" s="7" t="b">
        <v>0</v>
      </c>
      <c r="C26" s="9" t="b">
        <v>0</v>
      </c>
      <c r="D26" t="str">
        <f>VLOOKUP(Table1[[#This Row],[ServiceCode]],Table2[#All],2,TRUE)</f>
        <v>In-Vehicle Payment &amp; Commerce Services – platby v autě YouTube​</v>
      </c>
    </row>
    <row r="27" spans="1:4" hidden="1" x14ac:dyDescent="0.3">
      <c r="A27" s="8" t="s">
        <v>36</v>
      </c>
      <c r="B27" s="7" t="b">
        <v>0</v>
      </c>
      <c r="C27" s="9" t="b">
        <v>0</v>
      </c>
      <c r="D27" t="str">
        <f>VLOOKUP(Table1[[#This Row],[ServiceCode]],Table2[#All],2,TRUE)</f>
        <v>In-Vehicle Payment &amp; Commerce Services – platby v autě YouTube​</v>
      </c>
    </row>
    <row r="28" spans="1:4" hidden="1" x14ac:dyDescent="0.3">
      <c r="A28" s="8" t="s">
        <v>37</v>
      </c>
      <c r="B28" s="7" t="b">
        <v>0</v>
      </c>
      <c r="C28" s="9" t="b">
        <v>0</v>
      </c>
      <c r="D28" t="str">
        <f>VLOOKUP(Table1[[#This Row],[ServiceCode]],Table2[#All],2,TRUE)</f>
        <v>Secure Quick Data Fetch – bezpečné rychlé načítání telemetrie YouTube​</v>
      </c>
    </row>
    <row r="29" spans="1:4" hidden="1" x14ac:dyDescent="0.3">
      <c r="A29" s="8" t="s">
        <v>38</v>
      </c>
      <c r="B29" s="7" t="b">
        <v>0</v>
      </c>
      <c r="C29" s="9" t="b">
        <v>0</v>
      </c>
      <c r="D29" t="str">
        <f>VLOOKUP(Table1[[#This Row],[ServiceCode]],Table2[#All],2,TRUE)</f>
        <v>Bluetooth Call / BlueCall – handsfree volání YouTube​</v>
      </c>
    </row>
    <row r="30" spans="1:4" x14ac:dyDescent="0.3">
      <c r="A30" s="8" t="s">
        <v>11</v>
      </c>
      <c r="B30" s="7" t="b">
        <v>1</v>
      </c>
      <c r="C30" s="9" t="b">
        <v>1</v>
      </c>
      <c r="D30" t="str">
        <f>VLOOKUP(Table1[[#This Row],[ServiceCode]],Table2[#All],2,TRUE)</f>
        <v>Flash To Distress / Find The Device – blikání pro lokalizaci jeep​</v>
      </c>
    </row>
    <row r="31" spans="1:4" x14ac:dyDescent="0.3">
      <c r="A31" s="8" t="s">
        <v>12</v>
      </c>
      <c r="B31" s="7" t="b">
        <v>1</v>
      </c>
      <c r="C31" s="9" t="b">
        <v>1</v>
      </c>
      <c r="D31" t="str">
        <f>VLOOKUP(Table1[[#This Row],[ServiceCode]],Table2[#All],2,TRUE)</f>
        <v>In-Vehicle Payment &amp; Commerce Services – platby v autě YouTube​</v>
      </c>
    </row>
    <row r="32" spans="1:4" hidden="1" x14ac:dyDescent="0.3">
      <c r="A32" s="8" t="s">
        <v>39</v>
      </c>
      <c r="B32" s="7" t="b">
        <v>0</v>
      </c>
      <c r="C32" s="9" t="b">
        <v>0</v>
      </c>
      <c r="D32" t="str">
        <f>VLOOKUP(Table1[[#This Row],[ServiceCode]],Table2[#All],2,TRUE)</f>
        <v>Bluetooth Call / BlueCall – handsfree volání YouTube​</v>
      </c>
    </row>
    <row r="33" spans="1:4" x14ac:dyDescent="0.3">
      <c r="A33" s="8" t="s">
        <v>40</v>
      </c>
      <c r="B33" s="7" t="b">
        <v>1</v>
      </c>
      <c r="C33" s="9" t="b">
        <v>0</v>
      </c>
      <c r="D33" t="str">
        <f>VLOOKUP(Table1[[#This Row],[ServiceCode]],Table2[#All],2,TRUE)</f>
        <v>Parent Controls – rodičovská kontrola (rychlost, geo-fence) YouTube​</v>
      </c>
    </row>
    <row r="34" spans="1:4" x14ac:dyDescent="0.3">
      <c r="A34" s="8" t="s">
        <v>13</v>
      </c>
      <c r="B34" s="7" t="b">
        <v>1</v>
      </c>
      <c r="C34" s="9" t="b">
        <v>1</v>
      </c>
      <c r="D34" t="str">
        <f>VLOOKUP(Table1[[#This Row],[ServiceCode]],Table2[#All],2,TRUE)</f>
        <v>Bluetooth Call / BlueCall – handsfree volání YouTube​</v>
      </c>
    </row>
    <row r="35" spans="1:4" hidden="1" x14ac:dyDescent="0.3">
      <c r="A35" s="8" t="s">
        <v>41</v>
      </c>
      <c r="B35" s="7" t="b">
        <v>0</v>
      </c>
      <c r="C35" s="9" t="b">
        <v>0</v>
      </c>
      <c r="D35" t="str">
        <f>VLOOKUP(Table1[[#This Row],[ServiceCode]],Table2[#All],2,TRUE)</f>
        <v>Testovací služba YouTube​</v>
      </c>
    </row>
    <row r="36" spans="1:4" x14ac:dyDescent="0.3">
      <c r="A36" s="8" t="s">
        <v>42</v>
      </c>
      <c r="B36" s="7" t="b">
        <v>1</v>
      </c>
      <c r="C36" s="9" t="b">
        <v>0</v>
      </c>
      <c r="D36" t="str">
        <f>VLOOKUP(Table1[[#This Row],[ServiceCode]],Table2[#All],2,TRUE)</f>
        <v>SVLA App Integration – SVLA přes mobilní app YouTube​</v>
      </c>
    </row>
    <row r="37" spans="1:4" x14ac:dyDescent="0.3">
      <c r="A37" s="8" t="s">
        <v>43</v>
      </c>
      <c r="B37" s="7" t="b">
        <v>1</v>
      </c>
      <c r="C37" s="9" t="b">
        <v>0</v>
      </c>
      <c r="D37" t="str">
        <f>VLOOKUP(Table1[[#This Row],[ServiceCode]],Table2[#All],2,TRUE)</f>
        <v>Firmware Over-The-Air – OTA aktualizace firmwaru driveuconnect​</v>
      </c>
    </row>
    <row r="38" spans="1:4" x14ac:dyDescent="0.3">
      <c r="A38" s="8" t="s">
        <v>44</v>
      </c>
      <c r="B38" s="7" t="b">
        <v>1</v>
      </c>
      <c r="C38" s="9" t="b">
        <v>0</v>
      </c>
      <c r="D38" t="str">
        <f>VLOOKUP(Table1[[#This Row],[ServiceCode]],Table2[#All],2,TRUE)</f>
        <v>Navigation Over-The-Air Traffic – online dopravní info jeep​</v>
      </c>
    </row>
    <row r="39" spans="1:4" x14ac:dyDescent="0.3">
      <c r="A39" s="8" t="s">
        <v>45</v>
      </c>
      <c r="B39" s="7" t="b">
        <v>1</v>
      </c>
      <c r="C39" s="9" t="b">
        <v>0</v>
      </c>
      <c r="D39" t="str">
        <f>VLOOKUP(Table1[[#This Row],[ServiceCode]],Table2[#All],2,TRUE)</f>
        <v>Navigation Over-The-Air Weather – online počasí jeep​</v>
      </c>
    </row>
    <row r="40" spans="1:4" ht="27.6" x14ac:dyDescent="0.3">
      <c r="A40" s="8" t="s">
        <v>46</v>
      </c>
      <c r="B40" s="7" t="b">
        <v>1</v>
      </c>
      <c r="C40" s="9" t="b">
        <v>0</v>
      </c>
      <c r="D40" t="str">
        <f>VLOOKUP(Table1[[#This Row],[ServiceCode]],Table2[#All],2,TRUE)</f>
        <v>Navigation Over-The-Air Speed Cameras – rychlostní radary jeep​</v>
      </c>
    </row>
    <row r="41" spans="1:4" x14ac:dyDescent="0.3">
      <c r="A41" s="8" t="s">
        <v>47</v>
      </c>
      <c r="B41" s="7" t="b">
        <v>1</v>
      </c>
      <c r="C41" s="9" t="b">
        <v>0</v>
      </c>
      <c r="D41" t="str">
        <f>VLOOKUP(Table1[[#This Row],[ServiceCode]],Table2[#All],2,TRUE)</f>
        <v>Navigation Over-The-Air Search – online vyhledávání POI jeep​</v>
      </c>
    </row>
    <row r="42" spans="1:4" x14ac:dyDescent="0.3">
      <c r="A42" s="8" t="s">
        <v>48</v>
      </c>
      <c r="B42" s="7" t="b">
        <v>1</v>
      </c>
      <c r="C42" s="9" t="b">
        <v>0</v>
      </c>
      <c r="D42" t="str">
        <f>VLOOKUP(Table1[[#This Row],[ServiceCode]],Table2[#All],2,TRUE)</f>
        <v>Plug-in Hybrid Electric Vehicle services – nabíjení, range YouTube​</v>
      </c>
    </row>
    <row r="43" spans="1:4" ht="27.6" hidden="1" x14ac:dyDescent="0.3">
      <c r="A43" s="8" t="s">
        <v>49</v>
      </c>
      <c r="B43" s="7" t="b">
        <v>0</v>
      </c>
      <c r="C43" s="9" t="b">
        <v>0</v>
      </c>
      <c r="D43" t="str">
        <f>VLOOKUP(Table1[[#This Row],[ServiceCode]],Table2[#All],2,TRUE)</f>
        <v>My eCharge – moje nabíjení (PHEV app) YouTube​</v>
      </c>
    </row>
    <row r="44" spans="1:4" ht="27.6" hidden="1" x14ac:dyDescent="0.3">
      <c r="A44" s="8" t="s">
        <v>50</v>
      </c>
      <c r="B44" s="7" t="b">
        <v>0</v>
      </c>
      <c r="C44" s="9" t="b">
        <v>0</v>
      </c>
      <c r="D44" t="str">
        <f>VLOOKUP(Table1[[#This Row],[ServiceCode]],Table2[#All],2,TRUE)</f>
        <v>My eCharge – moje nabíjení (PHEV app) YouTube​</v>
      </c>
    </row>
    <row r="45" spans="1:4" x14ac:dyDescent="0.3">
      <c r="A45" s="8" t="s">
        <v>51</v>
      </c>
      <c r="B45" s="7" t="b">
        <v>1</v>
      </c>
      <c r="C45" s="9" t="b">
        <v>0</v>
      </c>
      <c r="D45" t="str">
        <f>VLOOKUP(Table1[[#This Row],[ServiceCode]],Table2[#All],2,TRUE)</f>
        <v>Vehicle Health Services – stav vozidla (olej, tlaky) stellantisnorthamerica​</v>
      </c>
    </row>
    <row r="46" spans="1:4" x14ac:dyDescent="0.3">
      <c r="A46" s="8" t="s">
        <v>52</v>
      </c>
      <c r="B46" s="7" t="b">
        <v>1</v>
      </c>
      <c r="C46" s="9" t="b">
        <v>0</v>
      </c>
      <c r="D46" t="str">
        <f>VLOOKUP(Table1[[#This Row],[ServiceCode]],Table2[#All],2,TRUE)</f>
        <v>Connected Services Layer – vrstva konektivity YouTube​</v>
      </c>
    </row>
    <row r="47" spans="1:4" hidden="1" x14ac:dyDescent="0.3">
      <c r="A47" s="8" t="s">
        <v>53</v>
      </c>
      <c r="B47" s="7" t="b">
        <v>0</v>
      </c>
      <c r="C47" s="9" t="b">
        <v>0</v>
      </c>
      <c r="D47" t="str">
        <f>VLOOKUP(Table1[[#This Row],[ServiceCode]],Table2[#All],2,TRUE)</f>
        <v>Testovací služba YouTube​</v>
      </c>
    </row>
    <row r="48" spans="1:4" x14ac:dyDescent="0.3">
      <c r="A48" s="8" t="s">
        <v>54</v>
      </c>
      <c r="B48" s="7" t="b">
        <v>1</v>
      </c>
      <c r="C48" s="9" t="b">
        <v>0</v>
      </c>
      <c r="D48" t="str">
        <f>VLOOKUP(Table1[[#This Row],[ServiceCode]],Table2[#All],2,TRUE)</f>
        <v>Charge Point Plus – rozšířené nabíjení (EV/PHEV) YouTube​</v>
      </c>
    </row>
    <row r="49" spans="1:4" hidden="1" x14ac:dyDescent="0.3">
      <c r="A49" s="8" t="s">
        <v>55</v>
      </c>
      <c r="B49" s="7" t="b">
        <v>0</v>
      </c>
      <c r="C49" s="9" t="b">
        <v>0</v>
      </c>
      <c r="D49" t="str">
        <f>VLOOKUP(Table1[[#This Row],[ServiceCode]],Table2[#All],2,TRUE)</f>
        <v>Bluetooth Call / BlueCall – handsfree volání YouTube​</v>
      </c>
    </row>
    <row r="50" spans="1:4" x14ac:dyDescent="0.3">
      <c r="A50" s="8" t="s">
        <v>56</v>
      </c>
      <c r="B50" s="7" t="b">
        <v>1</v>
      </c>
      <c r="C50" s="9" t="b">
        <v>0</v>
      </c>
      <c r="D50" t="str">
        <f>VLOOKUP(Table1[[#This Row],[ServiceCode]],Table2[#All],2,TRUE)</f>
        <v>Deep Refresh – hloubkové obnovení dat/systému YouTube​</v>
      </c>
    </row>
    <row r="51" spans="1:4" hidden="1" x14ac:dyDescent="0.3">
      <c r="A51" s="8" t="s">
        <v>57</v>
      </c>
      <c r="B51" s="7" t="b">
        <v>0</v>
      </c>
      <c r="C51" s="9" t="b">
        <v>0</v>
      </c>
      <c r="D51" t="str">
        <f>VLOOKUP(Table1[[#This Row],[ServiceCode]],Table2[#All],2,TRUE)</f>
        <v>Head Unit Communication – komunikace s infotainment (Uconnect displej) mideast.jeep​</v>
      </c>
    </row>
    <row r="52" spans="1:4" ht="27.6" hidden="1" x14ac:dyDescent="0.3">
      <c r="A52" s="8" t="s">
        <v>58</v>
      </c>
      <c r="B52" s="7" t="b">
        <v>0</v>
      </c>
      <c r="C52" s="9" t="b">
        <v>0</v>
      </c>
      <c r="D52" t="str">
        <f>VLOOKUP(Table1[[#This Row],[ServiceCode]],Table2[#All],2,TRUE)</f>
        <v>My eCharge – moje nabíjení (PHEV app) YouTube​</v>
      </c>
    </row>
    <row r="53" spans="1:4" hidden="1" x14ac:dyDescent="0.3">
      <c r="A53" s="8" t="s">
        <v>59</v>
      </c>
      <c r="B53" s="7" t="b">
        <v>0</v>
      </c>
      <c r="C53" s="9" t="b">
        <v>0</v>
      </c>
      <c r="D53" t="str">
        <f>VLOOKUP(Table1[[#This Row],[ServiceCode]],Table2[#All],2,TRUE)</f>
        <v>Software Defined Vehicle – software-ovládané funkce vozidla YouTube​</v>
      </c>
    </row>
    <row r="54" spans="1:4" hidden="1" x14ac:dyDescent="0.3">
      <c r="A54" s="8" t="s">
        <v>60</v>
      </c>
      <c r="B54" s="7" t="b">
        <v>0</v>
      </c>
      <c r="C54" s="9" t="b">
        <v>0</v>
      </c>
      <c r="D54" t="str">
        <f>VLOOKUP(Table1[[#This Row],[ServiceCode]],Table2[#All],2,TRUE)</f>
        <v>Navigation Over-The-Air Weather – online počasí jeep​</v>
      </c>
    </row>
    <row r="55" spans="1:4" hidden="1" x14ac:dyDescent="0.3">
      <c r="A55" s="8" t="s">
        <v>61</v>
      </c>
      <c r="B55" s="7" t="b">
        <v>0</v>
      </c>
      <c r="C55" s="9" t="b">
        <v>0</v>
      </c>
      <c r="D55" t="str">
        <f>VLOOKUP(Table1[[#This Row],[ServiceCode]],Table2[#All],2,TRUE)</f>
        <v>Navigation Over-The-Air Weather – online počasí jeep​</v>
      </c>
    </row>
    <row r="56" spans="1:4" hidden="1" x14ac:dyDescent="0.3">
      <c r="A56" s="8" t="s">
        <v>62</v>
      </c>
      <c r="B56" s="7" t="b">
        <v>0</v>
      </c>
      <c r="C56" s="9" t="b">
        <v>0</v>
      </c>
      <c r="D56" t="str">
        <f>VLOOKUP(Table1[[#This Row],[ServiceCode]],Table2[#All],2,TRUE)</f>
        <v>Bluetooth Call / BlueCall – handsfree volání YouTube​</v>
      </c>
    </row>
    <row r="57" spans="1:4" hidden="1" x14ac:dyDescent="0.3">
      <c r="A57" s="8" t="s">
        <v>63</v>
      </c>
      <c r="B57" s="7" t="b">
        <v>0</v>
      </c>
      <c r="C57" s="9" t="b">
        <v>0</v>
      </c>
      <c r="D57" t="str">
        <f>VLOOKUP(Table1[[#This Row],[ServiceCode]],Table2[#All],2,TRUE)</f>
        <v>Bluetooth Call / BlueCall – handsfree volání YouTube​</v>
      </c>
    </row>
    <row r="58" spans="1:4" hidden="1" x14ac:dyDescent="0.3">
      <c r="A58" s="8" t="s">
        <v>64</v>
      </c>
      <c r="B58" s="7" t="b">
        <v>0</v>
      </c>
      <c r="C58" s="9" t="b">
        <v>0</v>
      </c>
      <c r="D58" t="str">
        <f>VLOOKUP(Table1[[#This Row],[ServiceCode]],Table2[#All],2,TRUE)</f>
        <v>Bluetooth Call / BlueCall – handsfree volání YouTube​</v>
      </c>
    </row>
    <row r="59" spans="1:4" hidden="1" x14ac:dyDescent="0.3">
      <c r="A59" s="8" t="s">
        <v>65</v>
      </c>
      <c r="B59" s="7" t="b">
        <v>0</v>
      </c>
      <c r="C59" s="9" t="b">
        <v>0</v>
      </c>
      <c r="D59" t="str">
        <f>VLOOKUP(Table1[[#This Row],[ServiceCode]],Table2[#All],2,TRUE)</f>
        <v>Bluetooth Call / BlueCall – handsfree volání YouTube​</v>
      </c>
    </row>
    <row r="60" spans="1:4" hidden="1" x14ac:dyDescent="0.3">
      <c r="A60" s="8" t="s">
        <v>66</v>
      </c>
      <c r="B60" s="7" t="b">
        <v>0</v>
      </c>
      <c r="C60" s="9" t="b">
        <v>0</v>
      </c>
      <c r="D60" t="str">
        <f>VLOOKUP(Table1[[#This Row],[ServiceCode]],Table2[#All],2,TRUE)</f>
        <v>Bluetooth Call / BlueCall – handsfree volání YouTube​</v>
      </c>
    </row>
    <row r="61" spans="1:4" hidden="1" x14ac:dyDescent="0.3">
      <c r="A61" s="8" t="s">
        <v>67</v>
      </c>
      <c r="B61" s="7" t="b">
        <v>0</v>
      </c>
      <c r="C61" s="9" t="b">
        <v>0</v>
      </c>
      <c r="D61" t="str">
        <f>VLOOKUP(Table1[[#This Row],[ServiceCode]],Table2[#All],2,TRUE)</f>
        <v>Bluetooth Call / BlueCall – handsfree volání YouTube​</v>
      </c>
    </row>
    <row r="62" spans="1:4" hidden="1" x14ac:dyDescent="0.3">
      <c r="A62" s="8" t="s">
        <v>68</v>
      </c>
      <c r="B62" s="7" t="b">
        <v>0</v>
      </c>
      <c r="C62" s="9" t="b">
        <v>0</v>
      </c>
      <c r="D62" t="str">
        <f>VLOOKUP(Table1[[#This Row],[ServiceCode]],Table2[#All],2,TRUE)</f>
        <v>Kiri PHEV? (možná Kia/Jeep interní PHEV) YouTube​</v>
      </c>
    </row>
    <row r="63" spans="1:4" x14ac:dyDescent="0.3">
      <c r="A63" s="8" t="s">
        <v>14</v>
      </c>
      <c r="B63" s="7" t="b">
        <v>1</v>
      </c>
      <c r="C63" s="9" t="b">
        <v>1</v>
      </c>
      <c r="D63" t="str">
        <f>VLOOKUP(Table1[[#This Row],[ServiceCode]],Table2[#All],2,TRUE)</f>
        <v>Dummy/Test Service – testovací služba pro vývoj YouTube​</v>
      </c>
    </row>
    <row r="64" spans="1:4" ht="27.6" hidden="1" x14ac:dyDescent="0.3">
      <c r="A64" s="8" t="s">
        <v>69</v>
      </c>
      <c r="B64" s="7" t="b">
        <v>0</v>
      </c>
      <c r="C64" s="9" t="b">
        <v>0</v>
      </c>
      <c r="D64" t="str">
        <f>VLOOKUP(Table1[[#This Row],[ServiceCode]],Table2[#All],2,TRUE)</f>
        <v>My eCharge – moje nabíjení (PHEV app) YouTube​</v>
      </c>
    </row>
    <row r="65" spans="1:4" ht="27.6" hidden="1" x14ac:dyDescent="0.3">
      <c r="A65" s="8" t="s">
        <v>70</v>
      </c>
      <c r="B65" s="7" t="b">
        <v>0</v>
      </c>
      <c r="C65" s="9" t="b">
        <v>0</v>
      </c>
      <c r="D65" t="str">
        <f>VLOOKUP(Table1[[#This Row],[ServiceCode]],Table2[#All],2,TRUE)</f>
        <v>My eCharge – moje nabíjení (PHEV app) YouTube​</v>
      </c>
    </row>
    <row r="66" spans="1:4" ht="27.6" hidden="1" x14ac:dyDescent="0.3">
      <c r="A66" s="8" t="s">
        <v>71</v>
      </c>
      <c r="B66" s="7" t="b">
        <v>0</v>
      </c>
      <c r="C66" s="9" t="b">
        <v>0</v>
      </c>
      <c r="D66" t="str">
        <f>VLOOKUP(Table1[[#This Row],[ServiceCode]],Table2[#All],2,TRUE)</f>
        <v>My eCharge – moje nabíjení (PHEV app) YouTube​</v>
      </c>
    </row>
    <row r="67" spans="1:4" hidden="1" x14ac:dyDescent="0.3">
      <c r="A67" s="8" t="s">
        <v>72</v>
      </c>
      <c r="B67" s="7" t="b">
        <v>0</v>
      </c>
      <c r="C67" s="9" t="b">
        <v>0</v>
      </c>
      <c r="D67" t="str">
        <f>VLOOKUP(Table1[[#This Row],[ServiceCode]],Table2[#All],2,TRUE)</f>
        <v>Testovací služba YouTube​</v>
      </c>
    </row>
    <row r="68" spans="1:4" hidden="1" x14ac:dyDescent="0.3">
      <c r="A68" s="8" t="s">
        <v>73</v>
      </c>
      <c r="B68" s="7" t="b">
        <v>0</v>
      </c>
      <c r="C68" s="9" t="b">
        <v>0</v>
      </c>
      <c r="D68" t="str">
        <f>VLOOKUP(Table1[[#This Row],[ServiceCode]],Table2[#All],2,TRUE)</f>
        <v>WiFi Hotspot – 4G/5G hotspot pro pasažéry mideast.jeep​</v>
      </c>
    </row>
    <row r="69" spans="1:4" hidden="1" x14ac:dyDescent="0.3">
      <c r="A69" s="8" t="s">
        <v>74</v>
      </c>
      <c r="B69" s="7" t="b">
        <v>0</v>
      </c>
      <c r="C69" s="9" t="b">
        <v>0</v>
      </c>
      <c r="D69" t="str">
        <f>VLOOKUP(Table1[[#This Row],[ServiceCode]],Table2[#All],2,TRUE)</f>
        <v>Testovací služba YouTube​</v>
      </c>
    </row>
    <row r="70" spans="1:4" hidden="1" x14ac:dyDescent="0.3">
      <c r="A70" s="8" t="s">
        <v>75</v>
      </c>
      <c r="B70" s="7" t="b">
        <v>0</v>
      </c>
      <c r="C70" s="9" t="b">
        <v>0</v>
      </c>
      <c r="D70" t="e">
        <f>VLOOKUP(Table1[[#This Row],[ServiceCode]],Table2[#All],2,TRUE)</f>
        <v>#N/A</v>
      </c>
    </row>
    <row r="71" spans="1:4" x14ac:dyDescent="0.3">
      <c r="A71" s="8" t="s">
        <v>76</v>
      </c>
      <c r="B71" s="7" t="b">
        <v>1</v>
      </c>
      <c r="C71" s="9" t="b">
        <v>0</v>
      </c>
      <c r="D71" t="str">
        <f>VLOOKUP(Table1[[#This Row],[ServiceCode]],Table2[#All],2,TRUE)</f>
        <v>Diagnostic and Analytics Service Suite – diagnostika YouTube​</v>
      </c>
    </row>
    <row r="72" spans="1:4" hidden="1" x14ac:dyDescent="0.3">
      <c r="A72" s="8" t="s">
        <v>77</v>
      </c>
      <c r="B72" s="7" t="b">
        <v>0</v>
      </c>
      <c r="C72" s="9" t="b">
        <v>0</v>
      </c>
      <c r="D72" t="str">
        <f>VLOOKUP(Table1[[#This Row],[ServiceCode]],Table2[#All],2,TRUE)</f>
        <v>Testovací služba YouTube​</v>
      </c>
    </row>
    <row r="73" spans="1:4" hidden="1" x14ac:dyDescent="0.3">
      <c r="A73" s="8" t="s">
        <v>78</v>
      </c>
      <c r="B73" s="7" t="b">
        <v>0</v>
      </c>
      <c r="C73" s="9" t="b">
        <v>0</v>
      </c>
      <c r="D73" t="str">
        <f>VLOOKUP(Table1[[#This Row],[ServiceCode]],Table2[#All],2,TRUE)</f>
        <v>Testovací služba YouTube​</v>
      </c>
    </row>
    <row r="74" spans="1:4" hidden="1" x14ac:dyDescent="0.3">
      <c r="A74" s="8" t="s">
        <v>79</v>
      </c>
      <c r="B74" s="7" t="b">
        <v>0</v>
      </c>
      <c r="C74" s="9" t="b">
        <v>0</v>
      </c>
      <c r="D74" t="str">
        <f>VLOOKUP(Table1[[#This Row],[ServiceCode]],Table2[#All],2,TRUE)</f>
        <v>Kiri PHEV? (možná Kia/Jeep interní PHEV) YouTube​</v>
      </c>
    </row>
    <row r="75" spans="1:4" x14ac:dyDescent="0.3">
      <c r="A75" s="8" t="s">
        <v>80</v>
      </c>
      <c r="B75" s="7" t="b">
        <v>1</v>
      </c>
      <c r="C75" s="9" t="b">
        <v>0</v>
      </c>
      <c r="D75" t="str">
        <f>VLOOKUP(Table1[[#This Row],[ServiceCode]],Table2[#All],2,TRUE)</f>
        <v>My eCharge – moje nabíjení (PHEV app) YouTube​</v>
      </c>
    </row>
    <row r="76" spans="1:4" hidden="1" x14ac:dyDescent="0.3">
      <c r="A76" s="8" t="s">
        <v>81</v>
      </c>
      <c r="B76" s="7" t="b">
        <v>0</v>
      </c>
      <c r="C76" s="9" t="b">
        <v>0</v>
      </c>
      <c r="D76" t="str">
        <f>VLOOKUP(Table1[[#This Row],[ServiceCode]],Table2[#All],2,TRUE)</f>
        <v>Advanced Over-The-Air Commands – pokročilé OTA příkazy YouTube​</v>
      </c>
    </row>
    <row r="77" spans="1:4" x14ac:dyDescent="0.3">
      <c r="A77" s="8" t="s">
        <v>82</v>
      </c>
      <c r="B77" s="7" t="b">
        <v>1</v>
      </c>
      <c r="C77" s="9" t="b">
        <v>0</v>
      </c>
      <c r="D77" t="str">
        <f>VLOOKUP(Table1[[#This Row],[ServiceCode]],Table2[#All],2,TRUE)</f>
        <v>Theft Assistance Support – podpora proti krádeži YouTube​</v>
      </c>
    </row>
    <row r="78" spans="1:4" hidden="1" x14ac:dyDescent="0.3">
      <c r="A78" s="8" t="s">
        <v>83</v>
      </c>
      <c r="B78" s="7" t="b">
        <v>0</v>
      </c>
      <c r="C78" s="9" t="b">
        <v>0</v>
      </c>
      <c r="D78" t="str">
        <f>VLOOKUP(Table1[[#This Row],[ServiceCode]],Table2[#All],2,TRUE)</f>
        <v>SOS Call / eCall – nouzové volání při kolizi stellantisnorthamerica+1</v>
      </c>
    </row>
    <row r="79" spans="1:4" hidden="1" x14ac:dyDescent="0.3">
      <c r="A79" s="8" t="s">
        <v>84</v>
      </c>
      <c r="B79" s="7" t="b">
        <v>0</v>
      </c>
      <c r="C79" s="9" t="b">
        <v>0</v>
      </c>
      <c r="D79" t="str">
        <f>VLOOKUP(Table1[[#This Row],[ServiceCode]],Table2[#All],2,TRUE)</f>
        <v>Remote Clear Personal Data – dálkové vymazání dat jeep+1</v>
      </c>
    </row>
    <row r="80" spans="1:4" hidden="1" x14ac:dyDescent="0.3">
      <c r="A80" s="8" t="s">
        <v>85</v>
      </c>
      <c r="B80" s="7" t="b">
        <v>0</v>
      </c>
      <c r="C80" s="9" t="b">
        <v>0</v>
      </c>
      <c r="D80" t="str">
        <f>VLOOKUP(Table1[[#This Row],[ServiceCode]],Table2[#All],2,TRUE)</f>
        <v>Testovací služba YouTube​</v>
      </c>
    </row>
    <row r="81" spans="1:4" hidden="1" x14ac:dyDescent="0.3">
      <c r="A81" s="8" t="s">
        <v>86</v>
      </c>
      <c r="B81" s="7" t="b">
        <v>0</v>
      </c>
      <c r="C81" s="9" t="b">
        <v>0</v>
      </c>
      <c r="D81" t="str">
        <f>VLOOKUP(Table1[[#This Row],[ServiceCode]],Table2[#All],2,TRUE)</f>
        <v>Connected Services Layer – vrstva konektivity YouTube​</v>
      </c>
    </row>
    <row r="82" spans="1:4" hidden="1" x14ac:dyDescent="0.3">
      <c r="A82" s="8" t="s">
        <v>87</v>
      </c>
      <c r="B82" s="7" t="b">
        <v>0</v>
      </c>
      <c r="C82" s="9" t="b">
        <v>0</v>
      </c>
      <c r="D82" t="str">
        <f>VLOOKUP(Table1[[#This Row],[ServiceCode]],Table2[#All],2,TRUE)</f>
        <v>Kiri PHEV? (možná Kia/Jeep interní PHEV) YouTube​</v>
      </c>
    </row>
    <row r="83" spans="1:4" hidden="1" x14ac:dyDescent="0.3">
      <c r="A83" s="8" t="s">
        <v>88</v>
      </c>
      <c r="B83" s="7" t="b">
        <v>0</v>
      </c>
      <c r="C83" s="9" t="b">
        <v>0</v>
      </c>
      <c r="D83" t="str">
        <f>VLOOKUP(Table1[[#This Row],[ServiceCode]],Table2[#All],2,TRUE)</f>
        <v>Flash To Distress / Find The Device – blikání pro lokalizaci jeep​</v>
      </c>
    </row>
    <row r="84" spans="1:4" hidden="1" x14ac:dyDescent="0.3">
      <c r="A84" s="8" t="s">
        <v>89</v>
      </c>
      <c r="B84" s="7" t="b">
        <v>0</v>
      </c>
      <c r="C84" s="9" t="b">
        <v>0</v>
      </c>
      <c r="D84" t="str">
        <f>VLOOKUP(Table1[[#This Row],[ServiceCode]],Table2[#All],2,TRUE)</f>
        <v>Remote Operations Center – centrum dálkových operací stellantisnorthamerica​</v>
      </c>
    </row>
    <row r="85" spans="1:4" hidden="1" x14ac:dyDescent="0.3">
      <c r="A85" s="8" t="s">
        <v>90</v>
      </c>
      <c r="B85" s="7" t="b">
        <v>0</v>
      </c>
      <c r="C85" s="9" t="b">
        <v>0</v>
      </c>
      <c r="D85" t="e">
        <f>VLOOKUP(Table1[[#This Row],[ServiceCode]],Table2[#All],2,TRUE)</f>
        <v>#N/A</v>
      </c>
    </row>
    <row r="86" spans="1:4" hidden="1" x14ac:dyDescent="0.3">
      <c r="A86" s="8" t="s">
        <v>91</v>
      </c>
      <c r="B86" s="7" t="b">
        <v>0</v>
      </c>
      <c r="C86" s="9" t="b">
        <v>0</v>
      </c>
      <c r="D86" t="str">
        <f>VLOOKUP(Table1[[#This Row],[ServiceCode]],Table2[#All],2,TRUE)</f>
        <v>Testovací služba YouTube​</v>
      </c>
    </row>
    <row r="87" spans="1:4" hidden="1" x14ac:dyDescent="0.3">
      <c r="A87" s="8" t="s">
        <v>92</v>
      </c>
      <c r="B87" s="7" t="b">
        <v>0</v>
      </c>
      <c r="C87" s="9" t="b">
        <v>0</v>
      </c>
      <c r="D87" t="str">
        <f>VLOOKUP(Table1[[#This Row],[ServiceCode]],Table2[#All],2,TRUE)</f>
        <v>Bluetooth Call / BlueCall – handsfree volání YouTube​</v>
      </c>
    </row>
    <row r="88" spans="1:4" hidden="1" x14ac:dyDescent="0.3">
      <c r="A88" s="8" t="s">
        <v>93</v>
      </c>
      <c r="B88" s="7" t="b">
        <v>0</v>
      </c>
      <c r="C88" s="9" t="b">
        <v>0</v>
      </c>
      <c r="D88" t="str">
        <f>VLOOKUP(Table1[[#This Row],[ServiceCode]],Table2[#All],2,TRUE)</f>
        <v>Theft Assistance Support – podpora proti krádeži YouTube​</v>
      </c>
    </row>
    <row r="89" spans="1:4" hidden="1" x14ac:dyDescent="0.3">
      <c r="A89" s="8" t="s">
        <v>94</v>
      </c>
      <c r="B89" s="7" t="b">
        <v>0</v>
      </c>
      <c r="C89" s="9" t="b">
        <v>0</v>
      </c>
      <c r="D89" t="str">
        <f>VLOOKUP(Table1[[#This Row],[ServiceCode]],Table2[#All],2,TRUE)</f>
        <v>Bluetooth Call / BlueCall – handsfree volání YouTube​</v>
      </c>
    </row>
    <row r="90" spans="1:4" hidden="1" x14ac:dyDescent="0.3">
      <c r="A90" s="8" t="s">
        <v>95</v>
      </c>
      <c r="B90" s="7" t="b">
        <v>0</v>
      </c>
      <c r="C90" s="9" t="b">
        <v>0</v>
      </c>
      <c r="D90" t="str">
        <f>VLOOKUP(Table1[[#This Row],[ServiceCode]],Table2[#All],2,TRUE)</f>
        <v>Bluetooth Call / BlueCall – handsfree volání YouTube​</v>
      </c>
    </row>
    <row r="91" spans="1:4" hidden="1" x14ac:dyDescent="0.3">
      <c r="A91" s="8" t="s">
        <v>96</v>
      </c>
      <c r="B91" s="7" t="b">
        <v>0</v>
      </c>
      <c r="C91" s="9" t="b">
        <v>0</v>
      </c>
      <c r="D91" t="str">
        <f>VLOOKUP(Table1[[#This Row],[ServiceCode]],Table2[#All],2,TRUE)</f>
        <v>Bluetooth Call / BlueCall – handsfree volání YouTube​</v>
      </c>
    </row>
    <row r="92" spans="1:4" hidden="1" x14ac:dyDescent="0.3">
      <c r="A92" s="8" t="s">
        <v>97</v>
      </c>
      <c r="B92" s="7" t="b">
        <v>0</v>
      </c>
      <c r="C92" s="9" t="b">
        <v>0</v>
      </c>
      <c r="D92" t="str">
        <f>VLOOKUP(Table1[[#This Row],[ServiceCode]],Table2[#All],2,TRUE)</f>
        <v>Theft Assistance Support – podpora proti krádeži YouTube​</v>
      </c>
    </row>
    <row r="93" spans="1:4" hidden="1" x14ac:dyDescent="0.3">
      <c r="A93" s="8" t="s">
        <v>98</v>
      </c>
      <c r="B93" s="7" t="b">
        <v>0</v>
      </c>
      <c r="C93" s="9" t="b">
        <v>0</v>
      </c>
      <c r="D93" t="e">
        <f>VLOOKUP(Table1[[#This Row],[ServiceCode]],Table2[#All],2,TRUE)</f>
        <v>#N/A</v>
      </c>
    </row>
    <row r="94" spans="1:4" hidden="1" x14ac:dyDescent="0.3">
      <c r="A94" s="8" t="s">
        <v>99</v>
      </c>
      <c r="B94" s="7" t="b">
        <v>0</v>
      </c>
      <c r="C94" s="9" t="b">
        <v>0</v>
      </c>
      <c r="D94" t="str">
        <f>VLOOKUP(Table1[[#This Row],[ServiceCode]],Table2[#All],2,TRUE)</f>
        <v>Secure Quick Data Fetch – bezpečné rychlé načítání telemetrie YouTube​</v>
      </c>
    </row>
    <row r="95" spans="1:4" hidden="1" x14ac:dyDescent="0.3">
      <c r="A95" s="8" t="s">
        <v>100</v>
      </c>
      <c r="B95" s="7" t="b">
        <v>0</v>
      </c>
      <c r="C95" s="9" t="b">
        <v>0</v>
      </c>
      <c r="D95" t="str">
        <f>VLOOKUP(Table1[[#This Row],[ServiceCode]],Table2[#All],2,TRUE)</f>
        <v>Secure Quick Data Fetch – bezpečné rychlé načítání telemetrie YouTube​</v>
      </c>
    </row>
    <row r="96" spans="1:4" hidden="1" x14ac:dyDescent="0.3">
      <c r="A96" s="8" t="s">
        <v>101</v>
      </c>
      <c r="B96" s="7" t="b">
        <v>0</v>
      </c>
      <c r="C96" s="9" t="b">
        <v>0</v>
      </c>
      <c r="D96" t="e">
        <f>VLOOKUP(Table1[[#This Row],[ServiceCode]],Table2[#All],2,TRUE)</f>
        <v>#N/A</v>
      </c>
    </row>
    <row r="97" spans="1:4" hidden="1" x14ac:dyDescent="0.3">
      <c r="A97" s="8" t="s">
        <v>102</v>
      </c>
      <c r="B97" s="7" t="b">
        <v>0</v>
      </c>
      <c r="C97" s="9" t="b">
        <v>0</v>
      </c>
      <c r="D97" t="e">
        <f>VLOOKUP(Table1[[#This Row],[ServiceCode]],Table2[#All],2,TRUE)</f>
        <v>#N/A</v>
      </c>
    </row>
    <row r="98" spans="1:4" hidden="1" x14ac:dyDescent="0.3">
      <c r="A98" s="8" t="s">
        <v>103</v>
      </c>
      <c r="B98" s="7" t="b">
        <v>0</v>
      </c>
      <c r="C98" s="9" t="b">
        <v>0</v>
      </c>
      <c r="D98" t="e">
        <f>VLOOKUP(Table1[[#This Row],[ServiceCode]],Table2[#All],2,TRUE)</f>
        <v>#N/A</v>
      </c>
    </row>
    <row r="99" spans="1:4" hidden="1" x14ac:dyDescent="0.3">
      <c r="A99" s="8" t="s">
        <v>104</v>
      </c>
      <c r="B99" s="7" t="b">
        <v>0</v>
      </c>
      <c r="C99" s="9" t="b">
        <v>0</v>
      </c>
      <c r="D99" t="e">
        <f>VLOOKUP(Table1[[#This Row],[ServiceCode]],Table2[#All],2,TRUE)</f>
        <v>#N/A</v>
      </c>
    </row>
    <row r="100" spans="1:4" hidden="1" x14ac:dyDescent="0.3">
      <c r="A100" s="8" t="s">
        <v>105</v>
      </c>
      <c r="B100" s="7" t="b">
        <v>0</v>
      </c>
      <c r="C100" s="9" t="b">
        <v>0</v>
      </c>
      <c r="D100" t="str">
        <f>VLOOKUP(Table1[[#This Row],[ServiceCode]],Table2[#All],2,TRUE)</f>
        <v>Remote Secure Delivery – bezpečné dálkové doručení (balíčky do auta) jeep​</v>
      </c>
    </row>
    <row r="101" spans="1:4" x14ac:dyDescent="0.3">
      <c r="A101" s="8" t="s">
        <v>15</v>
      </c>
      <c r="B101" s="7" t="b">
        <v>1</v>
      </c>
      <c r="C101" s="9" t="b">
        <v>1</v>
      </c>
      <c r="D101" t="str">
        <f>VLOOKUP(Table1[[#This Row],[ServiceCode]],Table2[#All],2,TRUE)</f>
        <v>Remote Clear Personal Data – dálkové vymazání dat jeep+1</v>
      </c>
    </row>
    <row r="102" spans="1:4" hidden="1" x14ac:dyDescent="0.3">
      <c r="A102" s="8" t="s">
        <v>106</v>
      </c>
      <c r="B102" s="7" t="b">
        <v>0</v>
      </c>
      <c r="C102" s="9" t="b">
        <v>0</v>
      </c>
      <c r="D102" t="str">
        <f>VLOOKUP(Table1[[#This Row],[ServiceCode]],Table2[#All],2,TRUE)</f>
        <v>Remote Secure Delivery – bezpečné dálkové doručení (balíčky do auta) jeep​</v>
      </c>
    </row>
    <row r="103" spans="1:4" hidden="1" x14ac:dyDescent="0.3">
      <c r="A103" s="8" t="s">
        <v>107</v>
      </c>
      <c r="B103" s="7" t="b">
        <v>0</v>
      </c>
      <c r="C103" s="9" t="b">
        <v>0</v>
      </c>
      <c r="D103" t="str">
        <f>VLOOKUP(Table1[[#This Row],[ServiceCode]],Table2[#All],2,TRUE)</f>
        <v>Testovací služba YouTube​</v>
      </c>
    </row>
    <row r="104" spans="1:4" hidden="1" x14ac:dyDescent="0.3">
      <c r="A104" s="8" t="s">
        <v>108</v>
      </c>
      <c r="B104" s="7" t="b">
        <v>0</v>
      </c>
      <c r="C104" s="9" t="b">
        <v>0</v>
      </c>
      <c r="D104" t="str">
        <f>VLOOKUP(Table1[[#This Row],[ServiceCode]],Table2[#All],2,TRUE)</f>
        <v>Testovací služba YouTube​</v>
      </c>
    </row>
    <row r="105" spans="1:4" hidden="1" x14ac:dyDescent="0.3">
      <c r="A105" s="8" t="s">
        <v>109</v>
      </c>
      <c r="B105" s="7" t="b">
        <v>0</v>
      </c>
      <c r="C105" s="9" t="b">
        <v>0</v>
      </c>
      <c r="D105" t="str">
        <f>VLOOKUP(Table1[[#This Row],[ServiceCode]],Table2[#All],2,TRUE)</f>
        <v>Kiri PHEV? (možná Kia/Jeep interní PHEV) YouTube​</v>
      </c>
    </row>
    <row r="106" spans="1:4" hidden="1" x14ac:dyDescent="0.3">
      <c r="A106" s="8" t="s">
        <v>110</v>
      </c>
      <c r="B106" s="7" t="b">
        <v>0</v>
      </c>
      <c r="C106" s="9" t="b">
        <v>0</v>
      </c>
      <c r="D106" t="str">
        <f>VLOOKUP(Table1[[#This Row],[ServiceCode]],Table2[#All],2,TRUE)</f>
        <v>Kiri PHEV? (možná Kia/Jeep interní PHEV) YouTube​</v>
      </c>
    </row>
    <row r="107" spans="1:4" hidden="1" x14ac:dyDescent="0.3">
      <c r="A107" s="8" t="s">
        <v>111</v>
      </c>
      <c r="B107" s="7" t="b">
        <v>0</v>
      </c>
      <c r="C107" s="9" t="b">
        <v>0</v>
      </c>
      <c r="D107" t="str">
        <f>VLOOKUP(Table1[[#This Row],[ServiceCode]],Table2[#All],2,TRUE)</f>
        <v>Kiri PHEV? (možná Kia/Jeep interní PHEV) YouTube​</v>
      </c>
    </row>
    <row r="108" spans="1:4" hidden="1" x14ac:dyDescent="0.3">
      <c r="A108" s="8" t="s">
        <v>112</v>
      </c>
      <c r="B108" s="7" t="b">
        <v>0</v>
      </c>
      <c r="C108" s="9" t="b">
        <v>0</v>
      </c>
      <c r="D108" t="str">
        <f>VLOOKUP(Table1[[#This Row],[ServiceCode]],Table2[#All],2,TRUE)</f>
        <v>Kiri PHEV? (možná Kia/Jeep interní PHEV) YouTube​</v>
      </c>
    </row>
    <row r="109" spans="1:4" hidden="1" x14ac:dyDescent="0.3">
      <c r="A109" s="8" t="s">
        <v>113</v>
      </c>
      <c r="B109" s="7" t="b">
        <v>0</v>
      </c>
      <c r="C109" s="9" t="b">
        <v>0</v>
      </c>
      <c r="D109" t="str">
        <f>VLOOKUP(Table1[[#This Row],[ServiceCode]],Table2[#All],2,TRUE)</f>
        <v>Theft Assistance Support – podpora proti krádeži YouTube​</v>
      </c>
    </row>
    <row r="110" spans="1:4" hidden="1" x14ac:dyDescent="0.3">
      <c r="A110" s="8" t="s">
        <v>114</v>
      </c>
      <c r="B110" s="7" t="b">
        <v>0</v>
      </c>
      <c r="C110" s="9" t="b">
        <v>0</v>
      </c>
      <c r="D110" t="str">
        <f>VLOOKUP(Table1[[#This Row],[ServiceCode]],Table2[#All],2,TRUE)</f>
        <v>Advanced SOS – rozšířené SOS s daty vozidla (automatické po airbag) jeep​</v>
      </c>
    </row>
    <row r="111" spans="1:4" hidden="1" x14ac:dyDescent="0.3">
      <c r="A111" s="8" t="s">
        <v>115</v>
      </c>
      <c r="B111" s="7" t="b">
        <v>0</v>
      </c>
      <c r="C111" s="9" t="b">
        <v>0</v>
      </c>
      <c r="D111" t="str">
        <f>VLOOKUP(Table1[[#This Row],[ServiceCode]],Table2[#All],2,TRUE)</f>
        <v>Bluetooth Call / BlueCall – handsfree volání YouTube​</v>
      </c>
    </row>
    <row r="112" spans="1:4" hidden="1" x14ac:dyDescent="0.3">
      <c r="A112" s="8" t="s">
        <v>116</v>
      </c>
      <c r="B112" s="7" t="b">
        <v>0</v>
      </c>
      <c r="C112" s="9" t="b">
        <v>0</v>
      </c>
      <c r="D112" t="str">
        <f>VLOOKUP(Table1[[#This Row],[ServiceCode]],Table2[#All],2,TRUE)</f>
        <v>Bluetooth Call / BlueCall – handsfree volání YouTube​</v>
      </c>
    </row>
    <row r="113" spans="1:4" hidden="1" x14ac:dyDescent="0.3">
      <c r="A113" s="8" t="s">
        <v>117</v>
      </c>
      <c r="B113" s="7" t="b">
        <v>0</v>
      </c>
      <c r="C113" s="9" t="b">
        <v>0</v>
      </c>
      <c r="D113" t="str">
        <f>VLOOKUP(Table1[[#This Row],[ServiceCode]],Table2[#All],2,TRUE)</f>
        <v>Bluetooth Call / BlueCall – handsfree volání YouTube​</v>
      </c>
    </row>
    <row r="114" spans="1:4" hidden="1" x14ac:dyDescent="0.3">
      <c r="A114" s="8" t="s">
        <v>118</v>
      </c>
      <c r="B114" s="7" t="b">
        <v>0</v>
      </c>
      <c r="C114" s="9" t="b">
        <v>0</v>
      </c>
      <c r="D114" t="str">
        <f>VLOOKUP(Table1[[#This Row],[ServiceCode]],Table2[#All],2,TRUE)</f>
        <v>Bluetooth Call / BlueCall – handsfree volání YouTube​</v>
      </c>
    </row>
    <row r="115" spans="1:4" hidden="1" x14ac:dyDescent="0.3">
      <c r="A115" s="8" t="s">
        <v>119</v>
      </c>
      <c r="B115" s="7" t="b">
        <v>0</v>
      </c>
      <c r="C115" s="9" t="b">
        <v>0</v>
      </c>
      <c r="D115" t="str">
        <f>VLOOKUP(Table1[[#This Row],[ServiceCode]],Table2[#All],2,TRUE)</f>
        <v>Bluetooth Call / BlueCall – handsfree volání YouTube​</v>
      </c>
    </row>
    <row r="116" spans="1:4" hidden="1" x14ac:dyDescent="0.3">
      <c r="A116" s="8" t="s">
        <v>120</v>
      </c>
      <c r="B116" s="7" t="b">
        <v>0</v>
      </c>
      <c r="C116" s="9" t="b">
        <v>0</v>
      </c>
      <c r="D116" t="str">
        <f>VLOOKUP(Table1[[#This Row],[ServiceCode]],Table2[#All],2,TRUE)</f>
        <v>Testovací služba YouTube​</v>
      </c>
    </row>
    <row r="117" spans="1:4" ht="27.6" x14ac:dyDescent="0.3">
      <c r="A117" s="8" t="s">
        <v>121</v>
      </c>
      <c r="B117" s="7" t="b">
        <v>1</v>
      </c>
      <c r="C117" s="9" t="b">
        <v>0</v>
      </c>
      <c r="D117" t="str">
        <f>VLOOKUP(Table1[[#This Row],[ServiceCode]],Table2[#All],2,TRUE)</f>
        <v>Navigation Over-The-Air Route DRM (15 min?) – dynamické trasy jeep​</v>
      </c>
    </row>
    <row r="118" spans="1:4" hidden="1" x14ac:dyDescent="0.3">
      <c r="A118" s="8" t="s">
        <v>122</v>
      </c>
      <c r="B118" s="7" t="b">
        <v>0</v>
      </c>
      <c r="C118" s="9" t="b">
        <v>0</v>
      </c>
      <c r="D118" t="str">
        <f>VLOOKUP(Table1[[#This Row],[ServiceCode]],Table2[#All],2,TRUE)</f>
        <v>Remote Door Unlock – dálkové odemknutí dveří jeep​</v>
      </c>
    </row>
    <row r="119" spans="1:4" hidden="1" x14ac:dyDescent="0.3">
      <c r="A119" s="8" t="s">
        <v>123</v>
      </c>
      <c r="B119" s="7" t="b">
        <v>0</v>
      </c>
      <c r="C119" s="9" t="b">
        <v>0</v>
      </c>
      <c r="D119" t="str">
        <f>VLOOKUP(Table1[[#This Row],[ServiceCode]],Table2[#All],2,TRUE)</f>
        <v>Remote Door Unlock – dálkové odemknutí dveří jeep​</v>
      </c>
    </row>
    <row r="120" spans="1:4" hidden="1" x14ac:dyDescent="0.3">
      <c r="A120" s="8" t="s">
        <v>124</v>
      </c>
      <c r="B120" s="7" t="b">
        <v>0</v>
      </c>
      <c r="C120" s="9" t="b">
        <v>0</v>
      </c>
      <c r="D120" t="str">
        <f>VLOOKUP(Table1[[#This Row],[ServiceCode]],Table2[#All],2,TRUE)</f>
        <v>Remote Clear Personal Data – dálkové vymazání dat jeep+1</v>
      </c>
    </row>
    <row r="121" spans="1:4" hidden="1" x14ac:dyDescent="0.3">
      <c r="A121" s="8" t="s">
        <v>125</v>
      </c>
      <c r="B121" s="7" t="b">
        <v>0</v>
      </c>
      <c r="C121" s="9" t="b">
        <v>0</v>
      </c>
      <c r="D121" t="str">
        <f>VLOOKUP(Table1[[#This Row],[ServiceCode]],Table2[#All],2,TRUE)</f>
        <v>Bluetooth Call / BlueCall – handsfree volání YouTube​</v>
      </c>
    </row>
    <row r="122" spans="1:4" x14ac:dyDescent="0.3">
      <c r="A122" s="8" t="s">
        <v>126</v>
      </c>
      <c r="B122" s="7" t="b">
        <v>1</v>
      </c>
      <c r="C122" s="9" t="b">
        <v>0</v>
      </c>
      <c r="D122" t="str">
        <f>VLOOKUP(Table1[[#This Row],[ServiceCode]],Table2[#All],2,TRUE)</f>
        <v>Kiri PHEV? (možná Kia/Jeep interní PHEV) YouTube​</v>
      </c>
    </row>
    <row r="123" spans="1:4" hidden="1" x14ac:dyDescent="0.3">
      <c r="A123" s="8" t="s">
        <v>127</v>
      </c>
      <c r="B123" s="7" t="b">
        <v>0</v>
      </c>
      <c r="C123" s="9" t="b">
        <v>0</v>
      </c>
      <c r="D123" t="str">
        <f>VLOOKUP(Table1[[#This Row],[ServiceCode]],Table2[#All],2,TRUE)</f>
        <v>Navigation Over-The-Air Weather – online počasí jeep​</v>
      </c>
    </row>
    <row r="124" spans="1:4" hidden="1" x14ac:dyDescent="0.3">
      <c r="A124" s="8" t="s">
        <v>128</v>
      </c>
      <c r="B124" s="7" t="b">
        <v>0</v>
      </c>
      <c r="C124" s="9" t="b">
        <v>0</v>
      </c>
      <c r="D124" t="str">
        <f>VLOOKUP(Table1[[#This Row],[ServiceCode]],Table2[#All],2,TRUE)</f>
        <v>Plug-in Hybrid Electric Vehicle services – nabíjení, range YouTube​</v>
      </c>
    </row>
    <row r="125" spans="1:4" hidden="1" x14ac:dyDescent="0.3">
      <c r="A125" s="8" t="s">
        <v>129</v>
      </c>
      <c r="B125" s="7" t="b">
        <v>0</v>
      </c>
      <c r="C125" s="9" t="b">
        <v>0</v>
      </c>
      <c r="D125" t="str">
        <f>VLOOKUP(Table1[[#This Row],[ServiceCode]],Table2[#All],2,TRUE)</f>
        <v>Charge Point Plus – rozšířené nabíjení (EV/PHEV) YouTube​</v>
      </c>
    </row>
    <row r="126" spans="1:4" hidden="1" x14ac:dyDescent="0.3">
      <c r="A126" s="8" t="s">
        <v>130</v>
      </c>
      <c r="B126" s="7" t="b">
        <v>0</v>
      </c>
      <c r="C126" s="9" t="b">
        <v>0</v>
      </c>
      <c r="D126" t="str">
        <f>VLOOKUP(Table1[[#This Row],[ServiceCode]],Table2[#All],2,TRUE)</f>
        <v>Navigation Over-The-Air Weather – online počasí jeep​</v>
      </c>
    </row>
    <row r="127" spans="1:4" hidden="1" x14ac:dyDescent="0.3">
      <c r="A127" s="8" t="s">
        <v>131</v>
      </c>
      <c r="B127" s="7" t="b">
        <v>0</v>
      </c>
      <c r="C127" s="9" t="b">
        <v>0</v>
      </c>
      <c r="D127" t="str">
        <f>VLOOKUP(Table1[[#This Row],[ServiceCode]],Table2[#All],2,TRUE)</f>
        <v>Charge Point Plus – rozšířené nabíjení (EV/PHEV) YouTube​</v>
      </c>
    </row>
    <row r="128" spans="1:4" x14ac:dyDescent="0.3">
      <c r="A128" s="8" t="s">
        <v>132</v>
      </c>
      <c r="B128" s="7" t="b">
        <v>1</v>
      </c>
      <c r="C128" s="9" t="b">
        <v>0</v>
      </c>
      <c r="D128" t="str">
        <f>VLOOKUP(Table1[[#This Row],[ServiceCode]],Table2[#All],2,TRUE)</f>
        <v>Další testovací služba YouTube​</v>
      </c>
    </row>
    <row r="129" spans="1:4" x14ac:dyDescent="0.3">
      <c r="A129" s="8" t="s">
        <v>16</v>
      </c>
      <c r="B129" s="7" t="b">
        <v>1</v>
      </c>
      <c r="C129" s="9" t="b">
        <v>1</v>
      </c>
      <c r="D129" t="str">
        <f>VLOOKUP(Table1[[#This Row],[ServiceCode]],Table2[#All],2,TRUE)</f>
        <v>Smart Location Info – chytré GPS data YouTube​</v>
      </c>
    </row>
    <row r="130" spans="1:4" ht="27.6" hidden="1" x14ac:dyDescent="0.3">
      <c r="A130" s="8" t="s">
        <v>133</v>
      </c>
      <c r="B130" s="7" t="b">
        <v>0</v>
      </c>
      <c r="C130" s="9" t="b">
        <v>0</v>
      </c>
      <c r="D130" t="str">
        <f>VLOOKUP(Table1[[#This Row],[ServiceCode]],Table2[#All],2,TRUE)</f>
        <v>Navigation Over-The-Air Route DRM (15 min?) – dynamické trasy jeep​</v>
      </c>
    </row>
    <row r="131" spans="1:4" x14ac:dyDescent="0.3">
      <c r="A131" s="8" t="s">
        <v>134</v>
      </c>
      <c r="B131" s="7" t="b">
        <v>1</v>
      </c>
      <c r="C131" s="9" t="b">
        <v>0</v>
      </c>
      <c r="D131" t="str">
        <f>VLOOKUP(Table1[[#This Row],[ServiceCode]],Table2[#All],2,TRUE)</f>
        <v>Testovací služba YouTube​</v>
      </c>
    </row>
    <row r="132" spans="1:4" hidden="1" x14ac:dyDescent="0.3">
      <c r="A132" s="8" t="s">
        <v>135</v>
      </c>
      <c r="B132" s="7" t="b">
        <v>0</v>
      </c>
      <c r="C132" s="9" t="b">
        <v>0</v>
      </c>
      <c r="D132" t="str">
        <f>VLOOKUP(Table1[[#This Row],[ServiceCode]],Table2[#All],2,TRUE)</f>
        <v>My eCharge – moje nabíjení (PHEV app) YouTube​</v>
      </c>
    </row>
    <row r="133" spans="1:4" hidden="1" x14ac:dyDescent="0.3">
      <c r="A133" s="8" t="s">
        <v>136</v>
      </c>
      <c r="B133" s="7" t="b">
        <v>0</v>
      </c>
      <c r="C133" s="9" t="b">
        <v>0</v>
      </c>
      <c r="D133" t="str">
        <f>VLOOKUP(Table1[[#This Row],[ServiceCode]],Table2[#All],2,TRUE)</f>
        <v>Head Unit Communication – komunikace s infotainment (Uconnect displej) mideast.jeep​</v>
      </c>
    </row>
    <row r="134" spans="1:4" ht="27.6" hidden="1" x14ac:dyDescent="0.3">
      <c r="A134" s="8" t="s">
        <v>137</v>
      </c>
      <c r="B134" s="7" t="b">
        <v>0</v>
      </c>
      <c r="C134" s="9" t="b">
        <v>0</v>
      </c>
      <c r="D134" t="e">
        <f>VLOOKUP(Table1[[#This Row],[ServiceCode]],Table2[#All],2,TRUE)</f>
        <v>#N/A</v>
      </c>
    </row>
    <row r="135" spans="1:4" ht="27.6" hidden="1" x14ac:dyDescent="0.3">
      <c r="A135" s="8" t="s">
        <v>138</v>
      </c>
      <c r="B135" s="7" t="b">
        <v>0</v>
      </c>
      <c r="C135" s="9" t="b">
        <v>0</v>
      </c>
      <c r="D135" t="e">
        <f>VLOOKUP(Table1[[#This Row],[ServiceCode]],Table2[#All],2,TRUE)</f>
        <v>#N/A</v>
      </c>
    </row>
    <row r="136" spans="1:4" hidden="1" x14ac:dyDescent="0.3">
      <c r="A136" s="8" t="s">
        <v>139</v>
      </c>
      <c r="B136" s="7" t="b">
        <v>0</v>
      </c>
      <c r="C136" s="9" t="b">
        <v>0</v>
      </c>
      <c r="D136" t="e">
        <f>VLOOKUP(Table1[[#This Row],[ServiceCode]],Table2[#All],2,TRUE)</f>
        <v>#N/A</v>
      </c>
    </row>
    <row r="137" spans="1:4" hidden="1" x14ac:dyDescent="0.3">
      <c r="A137" s="8" t="s">
        <v>140</v>
      </c>
      <c r="B137" s="7" t="b">
        <v>0</v>
      </c>
      <c r="C137" s="9" t="b">
        <v>0</v>
      </c>
      <c r="D137" t="e">
        <f>VLOOKUP(Table1[[#This Row],[ServiceCode]],Table2[#All],2,TRUE)</f>
        <v>#N/A</v>
      </c>
    </row>
    <row r="138" spans="1:4" hidden="1" x14ac:dyDescent="0.3">
      <c r="A138" s="8" t="s">
        <v>141</v>
      </c>
      <c r="B138" s="7" t="b">
        <v>0</v>
      </c>
      <c r="C138" s="9" t="b">
        <v>0</v>
      </c>
      <c r="D138" t="e">
        <f>VLOOKUP(Table1[[#This Row],[ServiceCode]],Table2[#All],2,TRUE)</f>
        <v>#N/A</v>
      </c>
    </row>
    <row r="139" spans="1:4" ht="27.6" hidden="1" x14ac:dyDescent="0.3">
      <c r="A139" s="8" t="s">
        <v>142</v>
      </c>
      <c r="B139" s="7" t="b">
        <v>0</v>
      </c>
      <c r="C139" s="9" t="b">
        <v>0</v>
      </c>
      <c r="D139" t="e">
        <f>VLOOKUP(Table1[[#This Row],[ServiceCode]],Table2[#All],2,TRUE)</f>
        <v>#N/A</v>
      </c>
    </row>
    <row r="140" spans="1:4" ht="27.6" hidden="1" x14ac:dyDescent="0.3">
      <c r="A140" s="8" t="s">
        <v>143</v>
      </c>
      <c r="B140" s="7" t="b">
        <v>0</v>
      </c>
      <c r="C140" s="9" t="b">
        <v>0</v>
      </c>
      <c r="D140" t="e">
        <f>VLOOKUP(Table1[[#This Row],[ServiceCode]],Table2[#All],2,TRUE)</f>
        <v>#N/A</v>
      </c>
    </row>
    <row r="141" spans="1:4" ht="27.6" hidden="1" x14ac:dyDescent="0.3">
      <c r="A141" s="8" t="s">
        <v>144</v>
      </c>
      <c r="B141" s="7" t="b">
        <v>0</v>
      </c>
      <c r="C141" s="9" t="b">
        <v>0</v>
      </c>
      <c r="D141" t="e">
        <f>VLOOKUP(Table1[[#This Row],[ServiceCode]],Table2[#All],2,TRUE)</f>
        <v>#N/A</v>
      </c>
    </row>
    <row r="142" spans="1:4" ht="27.6" hidden="1" x14ac:dyDescent="0.3">
      <c r="A142" s="8" t="s">
        <v>145</v>
      </c>
      <c r="B142" s="7" t="b">
        <v>0</v>
      </c>
      <c r="C142" s="9" t="b">
        <v>0</v>
      </c>
      <c r="D142" t="e">
        <f>VLOOKUP(Table1[[#This Row],[ServiceCode]],Table2[#All],2,TRUE)</f>
        <v>#N/A</v>
      </c>
    </row>
    <row r="143" spans="1:4" ht="27.6" hidden="1" x14ac:dyDescent="0.3">
      <c r="A143" s="8" t="s">
        <v>146</v>
      </c>
      <c r="B143" s="7" t="b">
        <v>0</v>
      </c>
      <c r="C143" s="9" t="b">
        <v>0</v>
      </c>
      <c r="D143" t="e">
        <f>VLOOKUP(Table1[[#This Row],[ServiceCode]],Table2[#All],2,TRUE)</f>
        <v>#N/A</v>
      </c>
    </row>
    <row r="144" spans="1:4" ht="27.6" hidden="1" x14ac:dyDescent="0.3">
      <c r="A144" s="8" t="s">
        <v>147</v>
      </c>
      <c r="B144" s="7" t="b">
        <v>0</v>
      </c>
      <c r="C144" s="9" t="b">
        <v>0</v>
      </c>
      <c r="D144" t="e">
        <f>VLOOKUP(Table1[[#This Row],[ServiceCode]],Table2[#All],2,TRUE)</f>
        <v>#N/A</v>
      </c>
    </row>
    <row r="145" spans="1:4" ht="27.6" hidden="1" x14ac:dyDescent="0.3">
      <c r="A145" s="8" t="s">
        <v>148</v>
      </c>
      <c r="B145" s="7" t="b">
        <v>0</v>
      </c>
      <c r="C145" s="9" t="b">
        <v>0</v>
      </c>
      <c r="D145" t="e">
        <f>VLOOKUP(Table1[[#This Row],[ServiceCode]],Table2[#All],2,TRUE)</f>
        <v>#N/A</v>
      </c>
    </row>
    <row r="146" spans="1:4" hidden="1" x14ac:dyDescent="0.3">
      <c r="A146" s="8" t="s">
        <v>149</v>
      </c>
      <c r="B146" s="7" t="b">
        <v>0</v>
      </c>
      <c r="C146" s="9" t="b">
        <v>0</v>
      </c>
      <c r="D146" t="e">
        <f>VLOOKUP(Table1[[#This Row],[ServiceCode]],Table2[#All],2,TRUE)</f>
        <v>#N/A</v>
      </c>
    </row>
    <row r="147" spans="1:4" hidden="1" x14ac:dyDescent="0.3">
      <c r="A147" s="8" t="s">
        <v>150</v>
      </c>
      <c r="B147" s="7" t="b">
        <v>0</v>
      </c>
      <c r="C147" s="9" t="b">
        <v>0</v>
      </c>
      <c r="D147" t="e">
        <f>VLOOKUP(Table1[[#This Row],[ServiceCode]],Table2[#All],2,TRUE)</f>
        <v>#N/A</v>
      </c>
    </row>
    <row r="148" spans="1:4" hidden="1" x14ac:dyDescent="0.3">
      <c r="A148" s="8" t="s">
        <v>151</v>
      </c>
      <c r="B148" s="7" t="b">
        <v>0</v>
      </c>
      <c r="C148" s="9" t="b">
        <v>0</v>
      </c>
      <c r="D148" t="e">
        <f>VLOOKUP(Table1[[#This Row],[ServiceCode]],Table2[#All],2,TRUE)</f>
        <v>#N/A</v>
      </c>
    </row>
    <row r="149" spans="1:4" hidden="1" x14ac:dyDescent="0.3">
      <c r="A149" s="8" t="s">
        <v>152</v>
      </c>
      <c r="B149" s="7" t="b">
        <v>0</v>
      </c>
      <c r="C149" s="9" t="b">
        <v>0</v>
      </c>
      <c r="D149" t="str">
        <f>VLOOKUP(Table1[[#This Row],[ServiceCode]],Table2[#All],2,TRUE)</f>
        <v>Další testovací služba YouTube​</v>
      </c>
    </row>
    <row r="150" spans="1:4" hidden="1" x14ac:dyDescent="0.3">
      <c r="A150" s="8" t="s">
        <v>153</v>
      </c>
      <c r="B150" s="7" t="b">
        <v>0</v>
      </c>
      <c r="C150" s="9" t="b">
        <v>0</v>
      </c>
      <c r="D150" t="e">
        <f>VLOOKUP(Table1[[#This Row],[ServiceCode]],Table2[#All],2,TRUE)</f>
        <v>#N/A</v>
      </c>
    </row>
    <row r="151" spans="1:4" hidden="1" x14ac:dyDescent="0.3">
      <c r="A151" s="8" t="s">
        <v>154</v>
      </c>
      <c r="B151" s="7" t="b">
        <v>0</v>
      </c>
      <c r="C151" s="9" t="b">
        <v>0</v>
      </c>
      <c r="D151" t="str">
        <f>VLOOKUP(Table1[[#This Row],[ServiceCode]],Table2[#All],2,TRUE)</f>
        <v>In-Vehicle Payment &amp; Commerce Services – platby v autě YouTube​</v>
      </c>
    </row>
    <row r="152" spans="1:4" hidden="1" x14ac:dyDescent="0.3">
      <c r="A152" s="13" t="s">
        <v>155</v>
      </c>
      <c r="B152" s="14" t="b">
        <v>0</v>
      </c>
      <c r="C152" s="15" t="b">
        <v>0</v>
      </c>
      <c r="D152" t="str">
        <f>VLOOKUP(Table1[[#This Row],[ServiceCode]],Table2[#All],2,TRUE)</f>
        <v>Další testovací služba YouTube​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F5DD3-646B-4942-89A9-F4592F8F6227}">
  <dimension ref="A1:B43"/>
  <sheetViews>
    <sheetView workbookViewId="0">
      <selection activeCell="I22" sqref="I22"/>
    </sheetView>
  </sheetViews>
  <sheetFormatPr defaultRowHeight="14.4" x14ac:dyDescent="0.3"/>
  <cols>
    <col min="1" max="1" width="25.109375" bestFit="1" customWidth="1"/>
    <col min="2" max="2" width="92.33203125" customWidth="1"/>
  </cols>
  <sheetData>
    <row r="1" spans="1:2" ht="17.399999999999999" thickBot="1" x14ac:dyDescent="0.45">
      <c r="A1" s="1" t="s">
        <v>156</v>
      </c>
      <c r="B1" s="2" t="s">
        <v>157</v>
      </c>
    </row>
    <row r="2" spans="1:2" ht="17.399999999999999" thickBot="1" x14ac:dyDescent="0.35">
      <c r="A2" s="3" t="s">
        <v>8</v>
      </c>
      <c r="B2" s="4" t="s">
        <v>172</v>
      </c>
    </row>
    <row r="3" spans="1:2" ht="17.399999999999999" thickBot="1" x14ac:dyDescent="0.35">
      <c r="A3" s="3" t="s">
        <v>5</v>
      </c>
      <c r="B3" s="5" t="s">
        <v>165</v>
      </c>
    </row>
    <row r="4" spans="1:2" ht="17.399999999999999" thickBot="1" x14ac:dyDescent="0.35">
      <c r="A4" s="3" t="s">
        <v>13</v>
      </c>
      <c r="B4" s="4" t="s">
        <v>178</v>
      </c>
    </row>
    <row r="5" spans="1:2" ht="17.399999999999999" thickBot="1" x14ac:dyDescent="0.35">
      <c r="A5" s="3" t="s">
        <v>54</v>
      </c>
      <c r="B5" s="4" t="s">
        <v>188</v>
      </c>
    </row>
    <row r="6" spans="1:2" ht="17.399999999999999" thickBot="1" x14ac:dyDescent="0.35">
      <c r="A6" s="3" t="s">
        <v>52</v>
      </c>
      <c r="B6" s="4" t="s">
        <v>187</v>
      </c>
    </row>
    <row r="7" spans="1:2" ht="17.399999999999999" thickBot="1" x14ac:dyDescent="0.35">
      <c r="A7" s="3" t="s">
        <v>76</v>
      </c>
      <c r="B7" s="4" t="s">
        <v>191</v>
      </c>
    </row>
    <row r="8" spans="1:2" ht="17.399999999999999" thickBot="1" x14ac:dyDescent="0.35">
      <c r="A8" s="3" t="s">
        <v>56</v>
      </c>
      <c r="B8" s="4" t="s">
        <v>189</v>
      </c>
    </row>
    <row r="9" spans="1:2" ht="17.399999999999999" thickBot="1" x14ac:dyDescent="0.35">
      <c r="A9" s="3" t="s">
        <v>32</v>
      </c>
      <c r="B9" s="5" t="s">
        <v>170</v>
      </c>
    </row>
    <row r="10" spans="1:2" ht="17.399999999999999" thickBot="1" x14ac:dyDescent="0.35">
      <c r="A10" s="3" t="s">
        <v>14</v>
      </c>
      <c r="B10" s="4" t="s">
        <v>190</v>
      </c>
    </row>
    <row r="11" spans="1:2" ht="17.399999999999999" thickBot="1" x14ac:dyDescent="0.35">
      <c r="A11" s="3" t="s">
        <v>132</v>
      </c>
      <c r="B11" s="4" t="s">
        <v>197</v>
      </c>
    </row>
    <row r="12" spans="1:2" ht="17.399999999999999" thickBot="1" x14ac:dyDescent="0.35">
      <c r="A12" s="3" t="s">
        <v>134</v>
      </c>
      <c r="B12" s="4" t="s">
        <v>199</v>
      </c>
    </row>
    <row r="13" spans="1:2" ht="17.399999999999999" thickBot="1" x14ac:dyDescent="0.35">
      <c r="A13" s="3" t="s">
        <v>43</v>
      </c>
      <c r="B13" s="5" t="s">
        <v>180</v>
      </c>
    </row>
    <row r="14" spans="1:2" ht="17.399999999999999" thickBot="1" x14ac:dyDescent="0.35">
      <c r="A14" s="3" t="s">
        <v>11</v>
      </c>
      <c r="B14" s="5" t="s">
        <v>175</v>
      </c>
    </row>
    <row r="15" spans="1:2" ht="17.399999999999999" thickBot="1" x14ac:dyDescent="0.35">
      <c r="A15" s="3" t="s">
        <v>7</v>
      </c>
      <c r="B15" s="5" t="s">
        <v>171</v>
      </c>
    </row>
    <row r="16" spans="1:2" ht="17.399999999999999" thickBot="1" x14ac:dyDescent="0.35">
      <c r="A16" s="3" t="s">
        <v>12</v>
      </c>
      <c r="B16" s="4" t="s">
        <v>176</v>
      </c>
    </row>
    <row r="17" spans="1:2" ht="17.399999999999999" thickBot="1" x14ac:dyDescent="0.35">
      <c r="A17" s="3" t="s">
        <v>126</v>
      </c>
      <c r="B17" s="4" t="s">
        <v>196</v>
      </c>
    </row>
    <row r="18" spans="1:2" ht="17.399999999999999" thickBot="1" x14ac:dyDescent="0.35">
      <c r="A18" s="3" t="s">
        <v>80</v>
      </c>
      <c r="B18" s="4" t="s">
        <v>192</v>
      </c>
    </row>
    <row r="19" spans="1:2" ht="17.399999999999999" thickBot="1" x14ac:dyDescent="0.35">
      <c r="A19" s="3" t="s">
        <v>121</v>
      </c>
      <c r="B19" s="5" t="s">
        <v>195</v>
      </c>
    </row>
    <row r="20" spans="1:2" ht="17.399999999999999" thickBot="1" x14ac:dyDescent="0.35">
      <c r="A20" s="3" t="s">
        <v>47</v>
      </c>
      <c r="B20" s="5" t="s">
        <v>184</v>
      </c>
    </row>
    <row r="21" spans="1:2" ht="17.399999999999999" thickBot="1" x14ac:dyDescent="0.35">
      <c r="A21" s="3" t="s">
        <v>46</v>
      </c>
      <c r="B21" s="5" t="s">
        <v>183</v>
      </c>
    </row>
    <row r="22" spans="1:2" ht="17.399999999999999" thickBot="1" x14ac:dyDescent="0.35">
      <c r="A22" s="3" t="s">
        <v>44</v>
      </c>
      <c r="B22" s="5" t="s">
        <v>181</v>
      </c>
    </row>
    <row r="23" spans="1:2" ht="17.399999999999999" thickBot="1" x14ac:dyDescent="0.35">
      <c r="A23" s="3" t="s">
        <v>45</v>
      </c>
      <c r="B23" s="5" t="s">
        <v>182</v>
      </c>
    </row>
    <row r="24" spans="1:2" ht="17.399999999999999" thickBot="1" x14ac:dyDescent="0.35">
      <c r="A24" s="3" t="s">
        <v>40</v>
      </c>
      <c r="B24" s="4" t="s">
        <v>177</v>
      </c>
    </row>
    <row r="25" spans="1:2" ht="17.399999999999999" thickBot="1" x14ac:dyDescent="0.35">
      <c r="A25" s="3" t="s">
        <v>48</v>
      </c>
      <c r="B25" s="4" t="s">
        <v>185</v>
      </c>
    </row>
    <row r="26" spans="1:2" ht="17.399999999999999" thickBot="1" x14ac:dyDescent="0.35">
      <c r="A26" s="3" t="s">
        <v>20</v>
      </c>
      <c r="B26" s="5" t="s">
        <v>158</v>
      </c>
    </row>
    <row r="27" spans="1:2" ht="17.399999999999999" thickBot="1" x14ac:dyDescent="0.35">
      <c r="A27" s="3" t="s">
        <v>21</v>
      </c>
      <c r="B27" s="5" t="s">
        <v>159</v>
      </c>
    </row>
    <row r="28" spans="1:2" ht="17.399999999999999" thickBot="1" x14ac:dyDescent="0.35">
      <c r="A28" s="3" t="s">
        <v>3</v>
      </c>
      <c r="B28" s="5" t="s">
        <v>163</v>
      </c>
    </row>
    <row r="29" spans="1:2" ht="17.399999999999999" thickBot="1" x14ac:dyDescent="0.35">
      <c r="A29" s="3" t="s">
        <v>15</v>
      </c>
      <c r="B29" s="4" t="s">
        <v>194</v>
      </c>
    </row>
    <row r="30" spans="1:2" ht="17.399999999999999" thickBot="1" x14ac:dyDescent="0.35">
      <c r="A30" s="3" t="s">
        <v>22</v>
      </c>
      <c r="B30" s="5" t="s">
        <v>160</v>
      </c>
    </row>
    <row r="31" spans="1:2" ht="17.399999999999999" thickBot="1" x14ac:dyDescent="0.35">
      <c r="A31" s="3" t="s">
        <v>24</v>
      </c>
      <c r="B31" s="4" t="s">
        <v>162</v>
      </c>
    </row>
    <row r="32" spans="1:2" ht="17.399999999999999" thickBot="1" x14ac:dyDescent="0.35">
      <c r="A32" s="3" t="s">
        <v>16</v>
      </c>
      <c r="B32" s="4" t="s">
        <v>198</v>
      </c>
    </row>
    <row r="33" spans="1:2" ht="17.399999999999999" thickBot="1" x14ac:dyDescent="0.35">
      <c r="A33" s="3" t="s">
        <v>4</v>
      </c>
      <c r="B33" s="4" t="s">
        <v>164</v>
      </c>
    </row>
    <row r="34" spans="1:2" ht="17.399999999999999" thickBot="1" x14ac:dyDescent="0.35">
      <c r="A34" s="3" t="s">
        <v>2</v>
      </c>
      <c r="B34" s="4" t="s">
        <v>161</v>
      </c>
    </row>
    <row r="35" spans="1:2" ht="17.399999999999999" thickBot="1" x14ac:dyDescent="0.35">
      <c r="A35" s="3" t="s">
        <v>27</v>
      </c>
      <c r="B35" s="4" t="s">
        <v>167</v>
      </c>
    </row>
    <row r="36" spans="1:2" ht="17.399999999999999" thickBot="1" x14ac:dyDescent="0.35">
      <c r="A36" s="3" t="s">
        <v>42</v>
      </c>
      <c r="B36" s="4" t="s">
        <v>179</v>
      </c>
    </row>
    <row r="37" spans="1:2" ht="17.399999999999999" thickBot="1" x14ac:dyDescent="0.35">
      <c r="A37" s="3" t="s">
        <v>31</v>
      </c>
      <c r="B37" s="5" t="s">
        <v>168</v>
      </c>
    </row>
    <row r="38" spans="1:2" ht="17.399999999999999" thickBot="1" x14ac:dyDescent="0.35">
      <c r="A38" s="3" t="s">
        <v>82</v>
      </c>
      <c r="B38" s="4" t="s">
        <v>193</v>
      </c>
    </row>
    <row r="39" spans="1:2" ht="17.399999999999999" thickBot="1" x14ac:dyDescent="0.35">
      <c r="A39" s="3" t="s">
        <v>9</v>
      </c>
      <c r="B39" s="4" t="s">
        <v>173</v>
      </c>
    </row>
    <row r="40" spans="1:2" ht="17.399999999999999" thickBot="1" x14ac:dyDescent="0.35">
      <c r="A40" s="3" t="s">
        <v>26</v>
      </c>
      <c r="B40" s="5" t="s">
        <v>166</v>
      </c>
    </row>
    <row r="41" spans="1:2" ht="17.399999999999999" thickBot="1" x14ac:dyDescent="0.35">
      <c r="A41" s="3" t="s">
        <v>51</v>
      </c>
      <c r="B41" s="5" t="s">
        <v>186</v>
      </c>
    </row>
    <row r="42" spans="1:2" ht="17.399999999999999" thickBot="1" x14ac:dyDescent="0.35">
      <c r="A42" s="3" t="s">
        <v>6</v>
      </c>
      <c r="B42" s="5" t="s">
        <v>169</v>
      </c>
    </row>
    <row r="43" spans="1:2" ht="16.8" x14ac:dyDescent="0.3">
      <c r="A43" s="6" t="s">
        <v>10</v>
      </c>
      <c r="B43" s="16" t="s">
        <v>174</v>
      </c>
    </row>
  </sheetData>
  <hyperlinks>
    <hyperlink ref="B26" r:id="rId1" display="https://www.jeep.com/mq/uconnect/connectivity.html" xr:uid="{8543DF53-D9C5-49FF-ADBC-265F057FE86C}"/>
    <hyperlink ref="B27" r:id="rId2" display="https://www.jeep.com/mq/uconnect/connectivity.html" xr:uid="{179908A2-0D08-4BEA-B91C-6A05890A4C19}"/>
    <hyperlink ref="B30" r:id="rId3" display="https://www.jeep.com/mq/uconnect/connectivity.html" xr:uid="{B74E93D3-E378-44CC-A65E-293A737D39D0}"/>
    <hyperlink ref="B28" r:id="rId4" display="https://media.stellantisnorthamerica.com/newsrelease.do?id=25241&amp;mid=" xr:uid="{B24127A8-49AB-42D6-A2FE-D2E9B14F4E06}"/>
    <hyperlink ref="B3" r:id="rId5" display="https://www.jeep.com/mq/uconnect/connectivity.html" xr:uid="{B20FAA0C-4EAC-44F1-9AD3-C3CEA3415F13}"/>
    <hyperlink ref="B40" r:id="rId6" display="https://www.jeep.com/mq/uconnect/connectivity.html" xr:uid="{7210B12D-24BD-497E-AD17-8F5A0B5D0C92}"/>
    <hyperlink ref="B37" r:id="rId7" display="https://www.jeep.com/mq/uconnect/connectivity.html" xr:uid="{87EF49A4-D78F-42BB-A635-56808B29335D}"/>
    <hyperlink ref="B42" r:id="rId8" display="https://www.jeep.com/mq/uconnect/connectivity.html" xr:uid="{57FD6444-16CA-401D-A393-1A77A2496184}"/>
    <hyperlink ref="B9" r:id="rId9" display="https://media.stellantisnorthamerica.com/newsrelease.do?id=25241&amp;mid=102" xr:uid="{7D3D88BE-709D-420F-AD6E-DB09C1061526}"/>
    <hyperlink ref="B15" r:id="rId10" display="https://www.mideast.jeep.com/en/2021/wrangler/technology.html" xr:uid="{277C4A44-CB4D-4EE2-BA91-27D1D927D2E8}"/>
    <hyperlink ref="B43" r:id="rId11" display="https://www.mideast.jeep.com/en/2021/wrangler/technology.html" xr:uid="{3A8A3543-4F65-4C68-A876-7F46B89384B8}"/>
    <hyperlink ref="B14" r:id="rId12" display="https://www.jeep.com/mq/uconnect/connectivity.html" xr:uid="{89CE9753-12F0-4980-86B0-60066B91513B}"/>
    <hyperlink ref="B13" r:id="rId13" display="https://www.driveuconnect.com/support/software-update.html" xr:uid="{0DAA9EFB-974E-45DC-A08A-A725A1C0635D}"/>
    <hyperlink ref="B22" r:id="rId14" display="https://www.jeep.cz/servis-a-sluzby/konektivni-sluzby" xr:uid="{FF0456FA-18D6-4F4F-A096-578E55AF235A}"/>
    <hyperlink ref="B23" r:id="rId15" display="https://www.jeep.cz/servis-a-sluzby/konektivni-sluzby" xr:uid="{CFA7DC56-95D9-439D-8F7E-F88B6028971B}"/>
    <hyperlink ref="B21" r:id="rId16" display="https://www.jeep.cz/servis-a-sluzby/konektivni-sluzby" xr:uid="{4CAEA0E2-342E-4673-A757-4F9CD72ACDF2}"/>
    <hyperlink ref="B20" r:id="rId17" display="https://www.jeep.cz/servis-a-sluzby/konektivni-sluzby" xr:uid="{C81F11F5-C60C-413B-81C9-C1D2D4792A8C}"/>
    <hyperlink ref="B41" r:id="rId18" display="https://media.stellantisnorthamerica.com/newsrelease.do?id=25241&amp;mid=102" xr:uid="{49C6A92C-4320-4DCF-9AC7-33246C793E91}"/>
    <hyperlink ref="B19" r:id="rId19" display="https://www.jeep.cz/servis-a-sluzby/konektivni-sluzby" xr:uid="{928FA13E-3BB9-4D21-99F9-65D4A4F0B6B9}"/>
  </hyperlinks>
  <pageMargins left="0.7" right="0.7" top="0.75" bottom="0.75" header="0.3" footer="0.3"/>
  <tableParts count="1">
    <tablePart r:id="rId2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JSON</vt:lpstr>
      <vt:lpstr>Služby Jeep + Status</vt:lpstr>
      <vt:lpstr>Názvy služeb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PA.Marek.Pasecny</dc:creator>
  <cp:lastModifiedBy>Marek Pasečný</cp:lastModifiedBy>
  <dcterms:created xsi:type="dcterms:W3CDTF">2026-02-19T07:29:29Z</dcterms:created>
  <dcterms:modified xsi:type="dcterms:W3CDTF">2026-02-20T11:46:49Z</dcterms:modified>
</cp:coreProperties>
</file>